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DC2\Documents\"/>
    </mc:Choice>
  </mc:AlternateContent>
  <xr:revisionPtr revIDLastSave="0" documentId="8_{39E9255F-9841-4CA0-9DA0-1B55B334741E}" xr6:coauthVersionLast="47" xr6:coauthVersionMax="47" xr10:uidLastSave="{00000000-0000-0000-0000-000000000000}"/>
  <bookViews>
    <workbookView xWindow="-120" yWindow="-120" windowWidth="29040" windowHeight="15720" tabRatio="667" firstSheet="7" activeTab="14" xr2:uid="{00000000-000D-0000-FFFF-FFFF00000000}"/>
  </bookViews>
  <sheets>
    <sheet name="Contenedores" sheetId="103" r:id="rId1"/>
    <sheet name="Nancy Garcia b (4)" sheetId="99" r:id="rId2"/>
    <sheet name="David Molina" sheetId="20" r:id="rId3"/>
    <sheet name="Desarrollo" sheetId="15" r:id="rId4"/>
    <sheet name="Yadira" sheetId="19" r:id="rId5"/>
    <sheet name="Keila" sheetId="17" r:id="rId6"/>
    <sheet name="Mario" sheetId="16" r:id="rId7"/>
    <sheet name="Luis Madrid" sheetId="9" r:id="rId8"/>
    <sheet name="Roy Reyes" sheetId="10" r:id="rId9"/>
    <sheet name="TRANEXPA" sheetId="21" r:id="rId10"/>
    <sheet name="TREXA" sheetId="98" r:id="rId11"/>
    <sheet name="Julio - Alejandro" sheetId="102" r:id="rId12"/>
    <sheet name="Cecilia" sheetId="101" r:id="rId13"/>
    <sheet name="Compras" sheetId="100" r:id="rId14"/>
    <sheet name="Tesoreria" sheetId="97" r:id="rId15"/>
    <sheet name="Lorenzo Varela" sheetId="38" r:id="rId16"/>
    <sheet name="Puerto Cortes" sheetId="90" r:id="rId17"/>
    <sheet name="Cubillo" sheetId="91" r:id="rId18"/>
    <sheet name="San Lorenzo b" sheetId="92" r:id="rId19"/>
    <sheet name="Gasolinera" sheetId="95" r:id="rId20"/>
    <sheet name="Abner U b" sheetId="93" r:id="rId21"/>
    <sheet name="Jacky" sheetId="94" r:id="rId22"/>
    <sheet name="Servicio al cliente b" sheetId="96" r:id="rId23"/>
    <sheet name="Mensual (2)" sheetId="106" r:id="rId24"/>
    <sheet name="Hoja3" sheetId="107" r:id="rId25"/>
    <sheet name="Mensual" sheetId="7" r:id="rId26"/>
    <sheet name="Hoja2" sheetId="105" r:id="rId27"/>
    <sheet name="Hoja1" sheetId="104" r:id="rId28"/>
    <sheet name="Acumulado" sheetId="1" r:id="rId29"/>
    <sheet name="EJ,. CXMA acumulado" sheetId="12" r:id="rId30"/>
    <sheet name="EJ,. CXMA MENSUAL" sheetId="2" r:id="rId31"/>
    <sheet name="Listados" sheetId="3" r:id="rId32"/>
  </sheets>
  <definedNames>
    <definedName name="Administracion">Listados!$C$2:$C$15</definedName>
    <definedName name="Almacen_PC" localSheetId="20">Listados!#REF!</definedName>
    <definedName name="Almacen_PC" localSheetId="12">Listados!#REF!</definedName>
    <definedName name="Almacen_PC" localSheetId="13">Listados!#REF!</definedName>
    <definedName name="Almacen_PC" localSheetId="0">Listados!#REF!</definedName>
    <definedName name="Almacen_PC" localSheetId="17">Listados!#REF!</definedName>
    <definedName name="Almacen_PC" localSheetId="19">Listados!#REF!</definedName>
    <definedName name="Almacen_PC" localSheetId="21">Listados!#REF!</definedName>
    <definedName name="Almacen_PC" localSheetId="11">Listados!#REF!</definedName>
    <definedName name="Almacen_PC" localSheetId="1">Listados!#REF!</definedName>
    <definedName name="Almacen_PC" localSheetId="16">Listados!#REF!</definedName>
    <definedName name="Almacen_PC" localSheetId="18">Listados!#REF!</definedName>
    <definedName name="Almacen_PC" localSheetId="22">Listados!#REF!</definedName>
    <definedName name="Almacen_PC" localSheetId="14">Listados!#REF!</definedName>
    <definedName name="Almacen_PC" localSheetId="10">Listados!#REF!</definedName>
    <definedName name="Almacen_PC">Listados!#REF!</definedName>
    <definedName name="_xlnm.Print_Area" localSheetId="31">Listados!$A$1:$L$15</definedName>
    <definedName name="Contenedores">Listados!$B$2:$B$15</definedName>
    <definedName name="Gasolinera">Listados!$L$2:$L$15</definedName>
    <definedName name="Interchange">Listados!$G$2:$G$15</definedName>
    <definedName name="Interchange_PC">Listados!$G$2:$G$15</definedName>
    <definedName name="Interchange_SL">Listados!$H$2:$H$15</definedName>
    <definedName name="Predio_Puerto_Cortes">Listados!$E$2:$E$15</definedName>
    <definedName name="Predio_San_Lorenzo">Listados!$F$2:$F$15</definedName>
    <definedName name="Servicio_Al_Cliente">Listados!$D$2:$D$15</definedName>
    <definedName name="ServicioAlCliente">Listados!$D$2:$D$15</definedName>
    <definedName name="Sistemas_Y_Procesos">Listados!$A$2:$A$15</definedName>
    <definedName name="SistemasYProcesos">Listados!$A$2:$A$15</definedName>
    <definedName name="SLO" localSheetId="20">Listados!#REF!</definedName>
    <definedName name="SLO" localSheetId="12">Listados!#REF!</definedName>
    <definedName name="SLO" localSheetId="13">Listados!#REF!</definedName>
    <definedName name="SLO" localSheetId="0">Listados!#REF!</definedName>
    <definedName name="SLO" localSheetId="19">Listados!#REF!</definedName>
    <definedName name="SLO" localSheetId="21">Listados!#REF!</definedName>
    <definedName name="SLO" localSheetId="11">Listados!#REF!</definedName>
    <definedName name="SLO" localSheetId="1">Listados!#REF!</definedName>
    <definedName name="SLO" localSheetId="22">Listados!#REF!</definedName>
    <definedName name="SLO" localSheetId="14">Listados!#REF!</definedName>
    <definedName name="SLO" localSheetId="10">Listados!#REF!</definedName>
    <definedName name="SLO">Listados!#REF!</definedName>
    <definedName name="Taller" localSheetId="20">Listados!#REF!</definedName>
    <definedName name="Taller" localSheetId="12">Listados!#REF!</definedName>
    <definedName name="Taller" localSheetId="13">Listados!#REF!</definedName>
    <definedName name="Taller" localSheetId="0">Listados!#REF!</definedName>
    <definedName name="Taller" localSheetId="17">Listados!#REF!</definedName>
    <definedName name="Taller" localSheetId="19">Listados!#REF!</definedName>
    <definedName name="Taller" localSheetId="21">Listados!#REF!</definedName>
    <definedName name="Taller" localSheetId="11">Listados!#REF!</definedName>
    <definedName name="Taller" localSheetId="1">Listados!#REF!</definedName>
    <definedName name="Taller" localSheetId="16">Listados!#REF!</definedName>
    <definedName name="Taller" localSheetId="18">Listados!#REF!</definedName>
    <definedName name="Taller" localSheetId="22">Listados!#REF!</definedName>
    <definedName name="Taller" localSheetId="14">Listados!#REF!</definedName>
    <definedName name="Taller" localSheetId="10">Listados!#REF!</definedName>
    <definedName name="Taller">Listados!#REF!</definedName>
    <definedName name="Taller_PC">Listados!$I$2:$I$15</definedName>
    <definedName name="Taller_SL">Listados!$J$2:$J$15</definedName>
    <definedName name="Transporte">Listados!$K$2:$K$15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5" i="1" l="1"/>
  <c r="C94" i="1"/>
  <c r="F6" i="103"/>
  <c r="F2" i="107"/>
  <c r="G2" i="107" s="1"/>
  <c r="A27" i="107"/>
  <c r="A22" i="107"/>
  <c r="A23" i="107"/>
  <c r="A24" i="107"/>
  <c r="A25" i="107"/>
  <c r="A26" i="107"/>
  <c r="A21" i="107"/>
  <c r="A13" i="107"/>
  <c r="B13" i="107"/>
  <c r="C13" i="107"/>
  <c r="A14" i="107"/>
  <c r="B14" i="107"/>
  <c r="C14" i="107"/>
  <c r="A15" i="107"/>
  <c r="B15" i="107"/>
  <c r="C15" i="107"/>
  <c r="A16" i="107"/>
  <c r="B16" i="107"/>
  <c r="C16" i="107"/>
  <c r="A17" i="107"/>
  <c r="B17" i="107"/>
  <c r="C17" i="107"/>
  <c r="A18" i="107"/>
  <c r="B18" i="107"/>
  <c r="C18" i="107"/>
  <c r="B12" i="107"/>
  <c r="C12" i="107"/>
  <c r="A12" i="107"/>
  <c r="F3" i="107"/>
  <c r="G3" i="107" s="1"/>
  <c r="F4" i="107"/>
  <c r="G4" i="107" s="1"/>
  <c r="F5" i="107"/>
  <c r="F6" i="107"/>
  <c r="G6" i="107" s="1"/>
  <c r="F7" i="107"/>
  <c r="F8" i="107"/>
  <c r="F9" i="107"/>
  <c r="G9" i="107"/>
  <c r="G8" i="107"/>
  <c r="G7" i="107"/>
  <c r="B27" i="107" l="1"/>
  <c r="B22" i="107"/>
  <c r="B23" i="107"/>
  <c r="B24" i="107"/>
  <c r="B25" i="107"/>
  <c r="B26" i="107"/>
  <c r="B21" i="107"/>
  <c r="G5" i="107"/>
  <c r="D21" i="107"/>
  <c r="C21" i="107"/>
  <c r="B16" i="20"/>
  <c r="C16" i="20"/>
  <c r="B17" i="20"/>
  <c r="C17" i="20"/>
  <c r="B18" i="20"/>
  <c r="C18" i="20"/>
  <c r="B19" i="20"/>
  <c r="B21" i="20" s="1"/>
  <c r="C19" i="20"/>
  <c r="B20" i="20"/>
  <c r="C20" i="20"/>
  <c r="C15" i="20"/>
  <c r="B33" i="20"/>
  <c r="F32" i="20"/>
  <c r="E32" i="20"/>
  <c r="D32" i="20"/>
  <c r="F31" i="20"/>
  <c r="E31" i="20"/>
  <c r="D31" i="20"/>
  <c r="F30" i="20"/>
  <c r="E30" i="20"/>
  <c r="D30" i="20"/>
  <c r="F29" i="20"/>
  <c r="E29" i="20"/>
  <c r="D29" i="20"/>
  <c r="E28" i="20"/>
  <c r="D28" i="20"/>
  <c r="D27" i="20"/>
  <c r="B27" i="20"/>
  <c r="E21" i="107" l="1"/>
  <c r="M128" i="106"/>
  <c r="M127" i="106"/>
  <c r="L126" i="106"/>
  <c r="M126" i="106" s="1"/>
  <c r="L125" i="106"/>
  <c r="M125" i="106" s="1"/>
  <c r="L124" i="106"/>
  <c r="M124" i="106" s="1"/>
  <c r="L123" i="106"/>
  <c r="M123" i="106" s="1"/>
  <c r="L122" i="106"/>
  <c r="M122" i="106" s="1"/>
  <c r="L121" i="106"/>
  <c r="M121" i="106" s="1"/>
  <c r="L120" i="106"/>
  <c r="M120" i="106" s="1"/>
  <c r="L119" i="106"/>
  <c r="M119" i="106" s="1"/>
  <c r="L118" i="106"/>
  <c r="M118" i="106" s="1"/>
  <c r="L117" i="106"/>
  <c r="M117" i="106" s="1"/>
  <c r="L111" i="106"/>
  <c r="M111" i="106" s="1"/>
  <c r="L110" i="106"/>
  <c r="M110" i="106" s="1"/>
  <c r="L109" i="106"/>
  <c r="M109" i="106" s="1"/>
  <c r="L108" i="106"/>
  <c r="M108" i="106" s="1"/>
  <c r="L106" i="106"/>
  <c r="L105" i="106"/>
  <c r="L104" i="106"/>
  <c r="L103" i="106"/>
  <c r="L102" i="106"/>
  <c r="M102" i="106" s="1"/>
  <c r="L101" i="106"/>
  <c r="M101" i="106" s="1"/>
  <c r="L100" i="106"/>
  <c r="M100" i="106" s="1"/>
  <c r="K95" i="106"/>
  <c r="L95" i="106" s="1"/>
  <c r="M89" i="106"/>
  <c r="L87" i="106"/>
  <c r="J80" i="106"/>
  <c r="L80" i="106" s="1"/>
  <c r="L79" i="106"/>
  <c r="L78" i="106"/>
  <c r="J76" i="106"/>
  <c r="L76" i="106" s="1"/>
  <c r="J75" i="106"/>
  <c r="L75" i="106" s="1"/>
  <c r="J74" i="106"/>
  <c r="L74" i="106" s="1"/>
  <c r="J73" i="106"/>
  <c r="L73" i="106" s="1"/>
  <c r="J72" i="106"/>
  <c r="L71" i="106"/>
  <c r="M71" i="106" s="1"/>
  <c r="L70" i="106"/>
  <c r="M70" i="106" s="1"/>
  <c r="L69" i="106"/>
  <c r="M69" i="106" s="1"/>
  <c r="L68" i="106"/>
  <c r="M68" i="106" s="1"/>
  <c r="K67" i="106"/>
  <c r="J67" i="106"/>
  <c r="L66" i="106"/>
  <c r="M66" i="106" s="1"/>
  <c r="L61" i="106"/>
  <c r="M61" i="106" s="1"/>
  <c r="L56" i="106"/>
  <c r="L55" i="106"/>
  <c r="M54" i="106"/>
  <c r="M53" i="106"/>
  <c r="M52" i="106"/>
  <c r="M51" i="106"/>
  <c r="M50" i="106"/>
  <c r="L49" i="106"/>
  <c r="M49" i="106" s="1"/>
  <c r="L46" i="106"/>
  <c r="L45" i="106"/>
  <c r="L44" i="106"/>
  <c r="L43" i="106"/>
  <c r="L40" i="106"/>
  <c r="L39" i="106"/>
  <c r="L38" i="106"/>
  <c r="L37" i="106"/>
  <c r="M37" i="106" s="1"/>
  <c r="L36" i="106"/>
  <c r="M36" i="106" s="1"/>
  <c r="L35" i="106"/>
  <c r="L34" i="106"/>
  <c r="L33" i="106"/>
  <c r="L32" i="106"/>
  <c r="L31" i="106"/>
  <c r="L30" i="106"/>
  <c r="L29" i="106"/>
  <c r="L28" i="106"/>
  <c r="L27" i="106"/>
  <c r="L26" i="106"/>
  <c r="M26" i="106" s="1"/>
  <c r="L20" i="106"/>
  <c r="L19" i="106"/>
  <c r="L18" i="106"/>
  <c r="L17" i="106"/>
  <c r="L16" i="106"/>
  <c r="M16" i="106" s="1"/>
  <c r="L15" i="106"/>
  <c r="M15" i="106" s="1"/>
  <c r="L14" i="106"/>
  <c r="M14" i="106" s="1"/>
  <c r="L13" i="106"/>
  <c r="M13" i="106" s="1"/>
  <c r="L12" i="106"/>
  <c r="L11" i="106"/>
  <c r="J10" i="106"/>
  <c r="L10" i="106" s="1"/>
  <c r="J9" i="106"/>
  <c r="L9" i="106" s="1"/>
  <c r="L8" i="106"/>
  <c r="M8" i="106" s="1"/>
  <c r="L7" i="106"/>
  <c r="M7" i="106" s="1"/>
  <c r="L6" i="106"/>
  <c r="M6" i="106" s="1"/>
  <c r="B18" i="90"/>
  <c r="B18" i="38"/>
  <c r="H104" i="7"/>
  <c r="H105" i="7"/>
  <c r="H107" i="7"/>
  <c r="G16" i="99"/>
  <c r="H16" i="99" s="1"/>
  <c r="B19" i="92"/>
  <c r="M134" i="106" l="1"/>
  <c r="L134" i="106" s="1"/>
  <c r="K134" i="106" s="1"/>
  <c r="L67" i="106"/>
  <c r="J77" i="106"/>
  <c r="L77" i="106" s="1"/>
  <c r="L72" i="106"/>
  <c r="H88" i="7"/>
  <c r="F8" i="96"/>
  <c r="D8" i="96"/>
  <c r="H106" i="7"/>
  <c r="H57" i="7" l="1"/>
  <c r="H47" i="7" l="1"/>
  <c r="H46" i="7"/>
  <c r="H45" i="7"/>
  <c r="H44" i="7"/>
  <c r="H56" i="7" l="1"/>
  <c r="H39" i="7" l="1"/>
  <c r="H40" i="7"/>
  <c r="H41" i="7"/>
  <c r="H32" i="7"/>
  <c r="D14" i="103" l="1"/>
  <c r="E14" i="103"/>
  <c r="F14" i="103"/>
  <c r="D8" i="103"/>
  <c r="E8" i="103"/>
  <c r="F8" i="103"/>
  <c r="D9" i="103"/>
  <c r="F9" i="103"/>
  <c r="D10" i="103"/>
  <c r="F10" i="103"/>
  <c r="D11" i="103"/>
  <c r="E11" i="103"/>
  <c r="F11" i="103"/>
  <c r="D12" i="103"/>
  <c r="E12" i="103"/>
  <c r="F12" i="103"/>
  <c r="B16" i="103"/>
  <c r="F15" i="103"/>
  <c r="E15" i="103"/>
  <c r="D15" i="103"/>
  <c r="F13" i="103"/>
  <c r="E13" i="103"/>
  <c r="D13" i="103"/>
  <c r="E7" i="103"/>
  <c r="D7" i="103"/>
  <c r="L6" i="103"/>
  <c r="K6" i="103"/>
  <c r="J6" i="103"/>
  <c r="I6" i="103"/>
  <c r="E6" i="103"/>
  <c r="D6" i="103"/>
  <c r="A6" i="103"/>
  <c r="Q5" i="103"/>
  <c r="P5" i="103"/>
  <c r="O5" i="103"/>
  <c r="N5" i="103"/>
  <c r="M5" i="103"/>
  <c r="L5" i="103"/>
  <c r="K5" i="103"/>
  <c r="J5" i="103"/>
  <c r="I5" i="103"/>
  <c r="H5" i="103"/>
  <c r="G5" i="103"/>
  <c r="F5" i="103"/>
  <c r="E5" i="103"/>
  <c r="D5" i="103"/>
  <c r="B5" i="103"/>
  <c r="A5" i="103"/>
  <c r="D7" i="2"/>
  <c r="E7" i="2"/>
  <c r="F7" i="2"/>
  <c r="D8" i="2"/>
  <c r="E8" i="2"/>
  <c r="F8" i="2"/>
  <c r="D9" i="2"/>
  <c r="E9" i="2"/>
  <c r="F9" i="2"/>
  <c r="D10" i="2"/>
  <c r="E10" i="2"/>
  <c r="F10" i="2"/>
  <c r="D11" i="2"/>
  <c r="E11" i="2"/>
  <c r="F11" i="2"/>
  <c r="D12" i="2"/>
  <c r="E12" i="2"/>
  <c r="F12" i="2"/>
  <c r="D13" i="2"/>
  <c r="E13" i="2"/>
  <c r="F13" i="2"/>
  <c r="D14" i="2"/>
  <c r="E14" i="2"/>
  <c r="F14" i="2"/>
  <c r="G9" i="95" l="1"/>
  <c r="H71" i="7"/>
  <c r="H72" i="7"/>
  <c r="H79" i="7"/>
  <c r="H29" i="7" l="1"/>
  <c r="H17" i="7" l="1"/>
  <c r="H70" i="7"/>
  <c r="H80" i="7"/>
  <c r="D12" i="91" l="1"/>
  <c r="I90" i="7" l="1"/>
  <c r="F81" i="7"/>
  <c r="H81" i="7" s="1"/>
  <c r="G96" i="7" l="1"/>
  <c r="G68" i="7"/>
  <c r="F68" i="7"/>
  <c r="H67" i="7"/>
  <c r="D17" i="96"/>
  <c r="F17" i="96"/>
  <c r="D10" i="96"/>
  <c r="F21" i="94" l="1"/>
  <c r="H96" i="7"/>
  <c r="D13" i="102"/>
  <c r="E13" i="102"/>
  <c r="F13" i="102"/>
  <c r="B54" i="1"/>
  <c r="C54" i="1"/>
  <c r="D54" i="1"/>
  <c r="E54" i="1"/>
  <c r="G54" i="1" s="1"/>
  <c r="C46" i="1"/>
  <c r="D46" i="1"/>
  <c r="E46" i="1"/>
  <c r="G46" i="1" s="1"/>
  <c r="H46" i="1" s="1"/>
  <c r="B15" i="102"/>
  <c r="F14" i="102"/>
  <c r="E14" i="102"/>
  <c r="D14" i="102"/>
  <c r="F12" i="102"/>
  <c r="E12" i="102"/>
  <c r="D12" i="102"/>
  <c r="G11" i="102"/>
  <c r="H11" i="102" s="1"/>
  <c r="F11" i="102"/>
  <c r="E11" i="102"/>
  <c r="D11" i="102"/>
  <c r="F10" i="102"/>
  <c r="E10" i="102"/>
  <c r="D10" i="102"/>
  <c r="F9" i="102"/>
  <c r="E9" i="102"/>
  <c r="D9" i="102"/>
  <c r="F8" i="102"/>
  <c r="E8" i="102"/>
  <c r="D8" i="102"/>
  <c r="F7" i="102"/>
  <c r="E7" i="102"/>
  <c r="D7" i="102"/>
  <c r="L6" i="102"/>
  <c r="K6" i="102"/>
  <c r="J6" i="102"/>
  <c r="I6" i="102"/>
  <c r="E6" i="102"/>
  <c r="D6" i="102"/>
  <c r="A6" i="102"/>
  <c r="Q5" i="102"/>
  <c r="P5" i="102"/>
  <c r="O5" i="102"/>
  <c r="N5" i="102"/>
  <c r="M5" i="102"/>
  <c r="L5" i="102"/>
  <c r="K5" i="102"/>
  <c r="J5" i="102"/>
  <c r="I5" i="102"/>
  <c r="H5" i="102"/>
  <c r="G5" i="102"/>
  <c r="F5" i="102"/>
  <c r="E5" i="102"/>
  <c r="D5" i="102"/>
  <c r="B5" i="102"/>
  <c r="A5" i="102"/>
  <c r="D13" i="100"/>
  <c r="E13" i="100"/>
  <c r="F13" i="100"/>
  <c r="B15" i="101"/>
  <c r="G14" i="101"/>
  <c r="H14" i="101" s="1"/>
  <c r="F14" i="101"/>
  <c r="E14" i="101"/>
  <c r="D14" i="101"/>
  <c r="F13" i="101"/>
  <c r="E13" i="101"/>
  <c r="D13" i="101"/>
  <c r="F12" i="101"/>
  <c r="E12" i="101"/>
  <c r="D12" i="101"/>
  <c r="G11" i="101"/>
  <c r="H11" i="101" s="1"/>
  <c r="F11" i="101"/>
  <c r="E11" i="101"/>
  <c r="D11" i="101"/>
  <c r="F10" i="101"/>
  <c r="E10" i="101"/>
  <c r="D10" i="101"/>
  <c r="F9" i="101"/>
  <c r="E9" i="101"/>
  <c r="D9" i="101"/>
  <c r="F8" i="101"/>
  <c r="E8" i="101"/>
  <c r="D8" i="101"/>
  <c r="F7" i="101"/>
  <c r="E7" i="101"/>
  <c r="D7" i="101"/>
  <c r="L6" i="101"/>
  <c r="K6" i="101"/>
  <c r="J6" i="101"/>
  <c r="I6" i="101"/>
  <c r="E6" i="101"/>
  <c r="D6" i="101"/>
  <c r="A6" i="101"/>
  <c r="Q5" i="101"/>
  <c r="P5" i="101"/>
  <c r="O5" i="101"/>
  <c r="N5" i="101"/>
  <c r="M5" i="101"/>
  <c r="L5" i="101"/>
  <c r="K5" i="101"/>
  <c r="J5" i="101"/>
  <c r="I5" i="101"/>
  <c r="H5" i="101"/>
  <c r="G5" i="101"/>
  <c r="F5" i="101"/>
  <c r="E5" i="101"/>
  <c r="D5" i="101"/>
  <c r="B5" i="101"/>
  <c r="A5" i="101"/>
  <c r="B16" i="100"/>
  <c r="G15" i="100"/>
  <c r="H15" i="100" s="1"/>
  <c r="F15" i="100"/>
  <c r="E15" i="100"/>
  <c r="D15" i="100"/>
  <c r="F14" i="100"/>
  <c r="E14" i="100"/>
  <c r="D14" i="100"/>
  <c r="F12" i="100"/>
  <c r="E12" i="100"/>
  <c r="D12" i="100"/>
  <c r="G11" i="100"/>
  <c r="H11" i="100" s="1"/>
  <c r="F11" i="100"/>
  <c r="E11" i="100"/>
  <c r="D11" i="100"/>
  <c r="F10" i="100"/>
  <c r="E10" i="100"/>
  <c r="D10" i="100"/>
  <c r="F9" i="100"/>
  <c r="E9" i="100"/>
  <c r="D9" i="100"/>
  <c r="F8" i="100"/>
  <c r="E8" i="100"/>
  <c r="D8" i="100"/>
  <c r="F7" i="100"/>
  <c r="E7" i="100"/>
  <c r="D7" i="100"/>
  <c r="L6" i="100"/>
  <c r="K6" i="100"/>
  <c r="J6" i="100"/>
  <c r="I6" i="100"/>
  <c r="E6" i="100"/>
  <c r="D6" i="100"/>
  <c r="A6" i="100"/>
  <c r="Q5" i="100"/>
  <c r="P5" i="100"/>
  <c r="O5" i="100"/>
  <c r="N5" i="100"/>
  <c r="M5" i="100"/>
  <c r="L5" i="100"/>
  <c r="K5" i="100"/>
  <c r="J5" i="100"/>
  <c r="I5" i="100"/>
  <c r="H5" i="100"/>
  <c r="G5" i="100"/>
  <c r="F5" i="100"/>
  <c r="E5" i="100"/>
  <c r="D5" i="100"/>
  <c r="B5" i="100"/>
  <c r="A5" i="100"/>
  <c r="B22" i="99"/>
  <c r="F21" i="99"/>
  <c r="E21" i="99"/>
  <c r="D21" i="99"/>
  <c r="F20" i="99"/>
  <c r="E20" i="99"/>
  <c r="D20" i="99"/>
  <c r="G19" i="99"/>
  <c r="H19" i="99" s="1"/>
  <c r="F19" i="99"/>
  <c r="E19" i="99"/>
  <c r="D19" i="99"/>
  <c r="F18" i="99"/>
  <c r="E18" i="99"/>
  <c r="D18" i="99"/>
  <c r="F17" i="99"/>
  <c r="E17" i="99"/>
  <c r="D17" i="99"/>
  <c r="F16" i="99"/>
  <c r="E16" i="99"/>
  <c r="D16" i="99"/>
  <c r="F15" i="99"/>
  <c r="E15" i="99"/>
  <c r="D15" i="99"/>
  <c r="F14" i="99"/>
  <c r="E14" i="99"/>
  <c r="D14" i="99"/>
  <c r="F13" i="99"/>
  <c r="E13" i="99"/>
  <c r="D13" i="99"/>
  <c r="F12" i="99"/>
  <c r="E12" i="99"/>
  <c r="D12" i="99"/>
  <c r="F11" i="99"/>
  <c r="E11" i="99"/>
  <c r="D11" i="99"/>
  <c r="F10" i="99"/>
  <c r="E10" i="99"/>
  <c r="D10" i="99"/>
  <c r="F9" i="99"/>
  <c r="E9" i="99"/>
  <c r="D9" i="99"/>
  <c r="F8" i="99"/>
  <c r="E8" i="99"/>
  <c r="D8" i="99"/>
  <c r="F7" i="99"/>
  <c r="E7" i="99"/>
  <c r="D7" i="99"/>
  <c r="L6" i="99"/>
  <c r="K6" i="99"/>
  <c r="J6" i="99"/>
  <c r="I6" i="99"/>
  <c r="E6" i="99"/>
  <c r="D6" i="99"/>
  <c r="A6" i="99"/>
  <c r="Q5" i="99"/>
  <c r="P5" i="99"/>
  <c r="O5" i="99"/>
  <c r="N5" i="99"/>
  <c r="M5" i="99"/>
  <c r="L5" i="99"/>
  <c r="K5" i="99"/>
  <c r="J5" i="99"/>
  <c r="I5" i="99"/>
  <c r="H5" i="99"/>
  <c r="G5" i="99"/>
  <c r="F5" i="99"/>
  <c r="E5" i="99"/>
  <c r="D5" i="99"/>
  <c r="B5" i="99"/>
  <c r="A5" i="99"/>
  <c r="B11" i="98"/>
  <c r="F10" i="98"/>
  <c r="E10" i="98"/>
  <c r="D10" i="98"/>
  <c r="G9" i="98"/>
  <c r="H9" i="98" s="1"/>
  <c r="F9" i="98"/>
  <c r="E9" i="98"/>
  <c r="D9" i="98"/>
  <c r="F8" i="98"/>
  <c r="E8" i="98"/>
  <c r="D8" i="98"/>
  <c r="F7" i="98"/>
  <c r="E7" i="98"/>
  <c r="D7" i="98"/>
  <c r="L6" i="98"/>
  <c r="K6" i="98"/>
  <c r="J6" i="98"/>
  <c r="I6" i="98"/>
  <c r="E6" i="98"/>
  <c r="D6" i="98"/>
  <c r="A6" i="98"/>
  <c r="Q5" i="98"/>
  <c r="P5" i="98"/>
  <c r="O5" i="98"/>
  <c r="N5" i="98"/>
  <c r="M5" i="98"/>
  <c r="L5" i="98"/>
  <c r="K5" i="98"/>
  <c r="J5" i="98"/>
  <c r="I5" i="98"/>
  <c r="H5" i="98"/>
  <c r="G5" i="98"/>
  <c r="F5" i="98"/>
  <c r="E5" i="98"/>
  <c r="D5" i="98"/>
  <c r="B5" i="98"/>
  <c r="A5" i="98"/>
  <c r="B14" i="97"/>
  <c r="G13" i="97"/>
  <c r="H13" i="97" s="1"/>
  <c r="F13" i="97"/>
  <c r="E13" i="97"/>
  <c r="D13" i="97"/>
  <c r="F12" i="97"/>
  <c r="E12" i="97"/>
  <c r="D12" i="97"/>
  <c r="F11" i="97"/>
  <c r="E11" i="97"/>
  <c r="D11" i="97"/>
  <c r="F10" i="97"/>
  <c r="E10" i="97"/>
  <c r="D10" i="97"/>
  <c r="F9" i="97"/>
  <c r="E9" i="97"/>
  <c r="D9" i="97"/>
  <c r="F8" i="97"/>
  <c r="E8" i="97"/>
  <c r="D8" i="97"/>
  <c r="F7" i="97"/>
  <c r="E7" i="97"/>
  <c r="D7" i="97"/>
  <c r="L6" i="97"/>
  <c r="K6" i="97"/>
  <c r="J6" i="97"/>
  <c r="I6" i="97"/>
  <c r="E6" i="97"/>
  <c r="D6" i="97"/>
  <c r="A6" i="97"/>
  <c r="Q5" i="97"/>
  <c r="P5" i="97"/>
  <c r="O5" i="97"/>
  <c r="N5" i="97"/>
  <c r="M5" i="97"/>
  <c r="L5" i="97"/>
  <c r="K5" i="97"/>
  <c r="J5" i="97"/>
  <c r="I5" i="97"/>
  <c r="H5" i="97"/>
  <c r="G5" i="97"/>
  <c r="F5" i="97"/>
  <c r="E5" i="97"/>
  <c r="D5" i="97"/>
  <c r="B5" i="97"/>
  <c r="A5" i="97"/>
  <c r="D8" i="21"/>
  <c r="E8" i="21"/>
  <c r="F8" i="21"/>
  <c r="D9" i="21"/>
  <c r="E9" i="21"/>
  <c r="F9" i="21"/>
  <c r="D22" i="96"/>
  <c r="E22" i="96"/>
  <c r="F22" i="96"/>
  <c r="G22" i="96"/>
  <c r="H22" i="96" s="1"/>
  <c r="C45" i="1"/>
  <c r="D45" i="1"/>
  <c r="E45" i="1"/>
  <c r="G45" i="1" s="1"/>
  <c r="H45" i="1" s="1"/>
  <c r="D22" i="94"/>
  <c r="E22" i="94"/>
  <c r="F22" i="94"/>
  <c r="G22" i="94"/>
  <c r="H22" i="94" s="1"/>
  <c r="D11" i="21"/>
  <c r="E11" i="21"/>
  <c r="F11" i="21"/>
  <c r="B24" i="96"/>
  <c r="G23" i="96"/>
  <c r="H23" i="96" s="1"/>
  <c r="F23" i="96"/>
  <c r="D23" i="96"/>
  <c r="F21" i="96"/>
  <c r="E21" i="96"/>
  <c r="D21" i="96"/>
  <c r="G20" i="96"/>
  <c r="H20" i="96" s="1"/>
  <c r="F20" i="96"/>
  <c r="E20" i="96"/>
  <c r="D20" i="96"/>
  <c r="F19" i="96"/>
  <c r="D19" i="96"/>
  <c r="F18" i="96"/>
  <c r="D18" i="96"/>
  <c r="F16" i="96"/>
  <c r="D16" i="96"/>
  <c r="F15" i="96"/>
  <c r="D15" i="96"/>
  <c r="F14" i="96"/>
  <c r="D14" i="96"/>
  <c r="F13" i="96"/>
  <c r="E13" i="96"/>
  <c r="D13" i="96"/>
  <c r="F12" i="96"/>
  <c r="E12" i="96"/>
  <c r="D12" i="96"/>
  <c r="F11" i="96"/>
  <c r="E11" i="96"/>
  <c r="D11" i="96"/>
  <c r="F10" i="96"/>
  <c r="F9" i="96"/>
  <c r="E9" i="96"/>
  <c r="D9" i="96"/>
  <c r="G8" i="96"/>
  <c r="H8" i="96" s="1"/>
  <c r="E8" i="96"/>
  <c r="G7" i="96"/>
  <c r="H7" i="96" s="1"/>
  <c r="F7" i="96"/>
  <c r="E7" i="96"/>
  <c r="D7" i="96"/>
  <c r="L6" i="96"/>
  <c r="K6" i="96"/>
  <c r="J6" i="96"/>
  <c r="I6" i="96"/>
  <c r="E6" i="96"/>
  <c r="D6" i="96"/>
  <c r="A6" i="96"/>
  <c r="Q5" i="96"/>
  <c r="P5" i="96"/>
  <c r="O5" i="96"/>
  <c r="N5" i="96"/>
  <c r="M5" i="96"/>
  <c r="L5" i="96"/>
  <c r="K5" i="96"/>
  <c r="J5" i="96"/>
  <c r="I5" i="96"/>
  <c r="H5" i="96"/>
  <c r="G5" i="96"/>
  <c r="F5" i="96"/>
  <c r="E5" i="96"/>
  <c r="D5" i="96"/>
  <c r="B5" i="96"/>
  <c r="A5" i="96"/>
  <c r="D19" i="94"/>
  <c r="F19" i="94"/>
  <c r="C75" i="1"/>
  <c r="D75" i="1"/>
  <c r="D15" i="94"/>
  <c r="F15" i="94"/>
  <c r="D16" i="94"/>
  <c r="F16" i="94"/>
  <c r="D17" i="94"/>
  <c r="F17" i="94"/>
  <c r="D18" i="94"/>
  <c r="F18" i="94"/>
  <c r="C70" i="1"/>
  <c r="D70" i="1"/>
  <c r="C71" i="1"/>
  <c r="D71" i="1"/>
  <c r="C72" i="1"/>
  <c r="D72" i="1"/>
  <c r="C73" i="1"/>
  <c r="D73" i="1"/>
  <c r="C74" i="1"/>
  <c r="D74" i="1"/>
  <c r="F77" i="7"/>
  <c r="H77" i="7" s="1"/>
  <c r="F76" i="7"/>
  <c r="H76" i="7" s="1"/>
  <c r="F75" i="7"/>
  <c r="H75" i="7" s="1"/>
  <c r="F74" i="7"/>
  <c r="H74" i="7" s="1"/>
  <c r="F73" i="7"/>
  <c r="H73" i="7" s="1"/>
  <c r="D20" i="94"/>
  <c r="E20" i="94"/>
  <c r="F20" i="94"/>
  <c r="G20" i="94"/>
  <c r="H20" i="94" s="1"/>
  <c r="D11" i="94"/>
  <c r="E11" i="94"/>
  <c r="F11" i="94"/>
  <c r="D12" i="94"/>
  <c r="E12" i="94"/>
  <c r="F12" i="94"/>
  <c r="D13" i="94"/>
  <c r="E13" i="94"/>
  <c r="F13" i="94"/>
  <c r="D14" i="94"/>
  <c r="F14" i="94"/>
  <c r="G21" i="96" l="1"/>
  <c r="H21" i="96" s="1"/>
  <c r="E74" i="1"/>
  <c r="G74" i="1" s="1"/>
  <c r="H74" i="1" s="1"/>
  <c r="E73" i="1"/>
  <c r="G73" i="1" s="1"/>
  <c r="H73" i="1" s="1"/>
  <c r="E14" i="94"/>
  <c r="F78" i="7"/>
  <c r="H78" i="7" s="1"/>
  <c r="E15" i="94"/>
  <c r="E17" i="96"/>
  <c r="H54" i="1"/>
  <c r="E70" i="1"/>
  <c r="G70" i="1" s="1"/>
  <c r="H70" i="1" s="1"/>
  <c r="E17" i="94"/>
  <c r="E72" i="1"/>
  <c r="G72" i="1" s="1"/>
  <c r="H72" i="1" s="1"/>
  <c r="E14" i="96"/>
  <c r="E71" i="1"/>
  <c r="G71" i="1" s="1"/>
  <c r="H71" i="1" s="1"/>
  <c r="E18" i="96"/>
  <c r="E15" i="96"/>
  <c r="E16" i="96"/>
  <c r="E18" i="94"/>
  <c r="E16" i="94"/>
  <c r="D21" i="94"/>
  <c r="E21" i="94"/>
  <c r="G21" i="94"/>
  <c r="H21" i="94" s="1"/>
  <c r="B13" i="95"/>
  <c r="G12" i="95"/>
  <c r="H12" i="95" s="1"/>
  <c r="F12" i="95"/>
  <c r="E12" i="95"/>
  <c r="D12" i="95"/>
  <c r="G11" i="95"/>
  <c r="H11" i="95" s="1"/>
  <c r="F11" i="95"/>
  <c r="E11" i="95"/>
  <c r="D11" i="95"/>
  <c r="G10" i="95"/>
  <c r="H10" i="95" s="1"/>
  <c r="F10" i="95"/>
  <c r="E10" i="95"/>
  <c r="D10" i="95"/>
  <c r="F9" i="95"/>
  <c r="E9" i="95"/>
  <c r="D9" i="95"/>
  <c r="F8" i="95"/>
  <c r="E8" i="95"/>
  <c r="D8" i="95"/>
  <c r="F7" i="95"/>
  <c r="E7" i="95"/>
  <c r="D7" i="95"/>
  <c r="L6" i="95"/>
  <c r="K6" i="95"/>
  <c r="J6" i="95"/>
  <c r="I6" i="95"/>
  <c r="E6" i="95"/>
  <c r="D6" i="95"/>
  <c r="A6" i="95"/>
  <c r="Q5" i="95"/>
  <c r="P5" i="95"/>
  <c r="O5" i="95"/>
  <c r="N5" i="95"/>
  <c r="M5" i="95"/>
  <c r="L5" i="95"/>
  <c r="K5" i="95"/>
  <c r="J5" i="95"/>
  <c r="I5" i="95"/>
  <c r="H5" i="95"/>
  <c r="G5" i="95"/>
  <c r="F5" i="95"/>
  <c r="E5" i="95"/>
  <c r="D5" i="95"/>
  <c r="B5" i="95"/>
  <c r="A5" i="95"/>
  <c r="B24" i="94"/>
  <c r="G23" i="94"/>
  <c r="H23" i="94" s="1"/>
  <c r="F23" i="94"/>
  <c r="D23" i="94"/>
  <c r="F10" i="94"/>
  <c r="D10" i="94"/>
  <c r="F9" i="94"/>
  <c r="E9" i="94"/>
  <c r="D9" i="94"/>
  <c r="G8" i="94"/>
  <c r="H8" i="94" s="1"/>
  <c r="F8" i="94"/>
  <c r="E8" i="94"/>
  <c r="D8" i="94"/>
  <c r="G7" i="94"/>
  <c r="H7" i="94" s="1"/>
  <c r="F7" i="94"/>
  <c r="E7" i="94"/>
  <c r="D7" i="94"/>
  <c r="L6" i="94"/>
  <c r="K6" i="94"/>
  <c r="J6" i="94"/>
  <c r="I6" i="94"/>
  <c r="E6" i="94"/>
  <c r="D6" i="94"/>
  <c r="A6" i="94"/>
  <c r="Q5" i="94"/>
  <c r="P5" i="94"/>
  <c r="O5" i="94"/>
  <c r="N5" i="94"/>
  <c r="M5" i="94"/>
  <c r="L5" i="94"/>
  <c r="K5" i="94"/>
  <c r="J5" i="94"/>
  <c r="I5" i="94"/>
  <c r="H5" i="94"/>
  <c r="G5" i="94"/>
  <c r="F5" i="94"/>
  <c r="E5" i="94"/>
  <c r="D5" i="94"/>
  <c r="B5" i="94"/>
  <c r="A5" i="94"/>
  <c r="D10" i="93"/>
  <c r="E10" i="93"/>
  <c r="F10" i="93"/>
  <c r="G10" i="93"/>
  <c r="H10" i="93" s="1"/>
  <c r="D11" i="93"/>
  <c r="E11" i="93"/>
  <c r="F11" i="93"/>
  <c r="G11" i="93"/>
  <c r="H11" i="93" s="1"/>
  <c r="B13" i="93"/>
  <c r="F12" i="93"/>
  <c r="E12" i="93"/>
  <c r="D12" i="93"/>
  <c r="F9" i="93"/>
  <c r="E9" i="93"/>
  <c r="D9" i="93"/>
  <c r="F8" i="93"/>
  <c r="E8" i="93"/>
  <c r="D8" i="93"/>
  <c r="F7" i="93"/>
  <c r="E7" i="93"/>
  <c r="D7" i="93"/>
  <c r="L6" i="93"/>
  <c r="K6" i="93"/>
  <c r="J6" i="93"/>
  <c r="I6" i="93"/>
  <c r="E6" i="93"/>
  <c r="D6" i="93"/>
  <c r="A6" i="93"/>
  <c r="Q5" i="93"/>
  <c r="P5" i="93"/>
  <c r="O5" i="93"/>
  <c r="N5" i="93"/>
  <c r="M5" i="93"/>
  <c r="L5" i="93"/>
  <c r="K5" i="93"/>
  <c r="J5" i="93"/>
  <c r="I5" i="93"/>
  <c r="H5" i="93"/>
  <c r="G5" i="93"/>
  <c r="F5" i="93"/>
  <c r="E5" i="93"/>
  <c r="D5" i="93"/>
  <c r="B5" i="93"/>
  <c r="A5" i="93"/>
  <c r="B17" i="92"/>
  <c r="I17" i="92" s="1"/>
  <c r="F16" i="92"/>
  <c r="E16" i="92"/>
  <c r="D16" i="92"/>
  <c r="G15" i="92"/>
  <c r="H15" i="92" s="1"/>
  <c r="F15" i="92"/>
  <c r="E15" i="92"/>
  <c r="D15" i="92"/>
  <c r="G14" i="92"/>
  <c r="H14" i="92" s="1"/>
  <c r="F14" i="92"/>
  <c r="E14" i="92"/>
  <c r="D14" i="92"/>
  <c r="F13" i="92"/>
  <c r="E13" i="92"/>
  <c r="D13" i="92"/>
  <c r="G12" i="92"/>
  <c r="H12" i="92" s="1"/>
  <c r="F12" i="92"/>
  <c r="E12" i="92"/>
  <c r="D12" i="92"/>
  <c r="G11" i="92"/>
  <c r="H11" i="92" s="1"/>
  <c r="F11" i="92"/>
  <c r="E11" i="92"/>
  <c r="D11" i="92"/>
  <c r="G10" i="92"/>
  <c r="H10" i="92" s="1"/>
  <c r="F10" i="92"/>
  <c r="E10" i="92"/>
  <c r="D10" i="92"/>
  <c r="G9" i="92"/>
  <c r="H9" i="92" s="1"/>
  <c r="F9" i="92"/>
  <c r="E9" i="92"/>
  <c r="D9" i="92"/>
  <c r="F8" i="92"/>
  <c r="E8" i="92"/>
  <c r="D8" i="92"/>
  <c r="F7" i="92"/>
  <c r="E7" i="92"/>
  <c r="D7" i="92"/>
  <c r="L6" i="92"/>
  <c r="K6" i="92"/>
  <c r="J6" i="92"/>
  <c r="I6" i="92"/>
  <c r="E6" i="92"/>
  <c r="D6" i="92"/>
  <c r="A6" i="92"/>
  <c r="Q5" i="92"/>
  <c r="P5" i="92"/>
  <c r="O5" i="92"/>
  <c r="N5" i="92"/>
  <c r="M5" i="92"/>
  <c r="L5" i="92"/>
  <c r="K5" i="92"/>
  <c r="J5" i="92"/>
  <c r="I5" i="92"/>
  <c r="H5" i="92"/>
  <c r="G5" i="92"/>
  <c r="F5" i="92"/>
  <c r="E5" i="92"/>
  <c r="D5" i="92"/>
  <c r="B5" i="92"/>
  <c r="A5" i="92"/>
  <c r="D11" i="91"/>
  <c r="E11" i="91"/>
  <c r="F11" i="91"/>
  <c r="G11" i="91"/>
  <c r="H11" i="91" s="1"/>
  <c r="B17" i="91"/>
  <c r="F16" i="91"/>
  <c r="E16" i="91"/>
  <c r="D16" i="91"/>
  <c r="G15" i="91"/>
  <c r="H15" i="91" s="1"/>
  <c r="F15" i="91"/>
  <c r="E15" i="91"/>
  <c r="D15" i="91"/>
  <c r="G14" i="91"/>
  <c r="H14" i="91" s="1"/>
  <c r="F14" i="91"/>
  <c r="E14" i="91"/>
  <c r="D14" i="91"/>
  <c r="F13" i="91"/>
  <c r="E13" i="91"/>
  <c r="D13" i="91"/>
  <c r="G12" i="91"/>
  <c r="H12" i="91" s="1"/>
  <c r="F12" i="91"/>
  <c r="E12" i="91"/>
  <c r="G10" i="91"/>
  <c r="H10" i="91" s="1"/>
  <c r="F10" i="91"/>
  <c r="E10" i="91"/>
  <c r="D10" i="91"/>
  <c r="G9" i="91"/>
  <c r="H9" i="91" s="1"/>
  <c r="F9" i="91"/>
  <c r="E9" i="91"/>
  <c r="D9" i="91"/>
  <c r="F8" i="91"/>
  <c r="E8" i="91"/>
  <c r="D8" i="91"/>
  <c r="F7" i="91"/>
  <c r="E7" i="91"/>
  <c r="D7" i="91"/>
  <c r="L6" i="91"/>
  <c r="K6" i="91"/>
  <c r="J6" i="91"/>
  <c r="I6" i="91"/>
  <c r="E6" i="91"/>
  <c r="D6" i="91"/>
  <c r="A6" i="91"/>
  <c r="Q5" i="91"/>
  <c r="P5" i="91"/>
  <c r="O5" i="91"/>
  <c r="N5" i="91"/>
  <c r="M5" i="91"/>
  <c r="L5" i="91"/>
  <c r="K5" i="91"/>
  <c r="J5" i="91"/>
  <c r="I5" i="91"/>
  <c r="H5" i="91"/>
  <c r="G5" i="91"/>
  <c r="F5" i="91"/>
  <c r="E5" i="91"/>
  <c r="D5" i="91"/>
  <c r="B5" i="91"/>
  <c r="A5" i="91"/>
  <c r="B17" i="90"/>
  <c r="I17" i="90" s="1"/>
  <c r="F16" i="90"/>
  <c r="E16" i="90"/>
  <c r="D16" i="90"/>
  <c r="G15" i="90"/>
  <c r="H15" i="90" s="1"/>
  <c r="F15" i="90"/>
  <c r="E15" i="90"/>
  <c r="D15" i="90"/>
  <c r="G14" i="90"/>
  <c r="H14" i="90" s="1"/>
  <c r="F14" i="90"/>
  <c r="E14" i="90"/>
  <c r="D14" i="90"/>
  <c r="G13" i="90"/>
  <c r="H13" i="90" s="1"/>
  <c r="F13" i="90"/>
  <c r="E13" i="90"/>
  <c r="D13" i="90"/>
  <c r="F12" i="90"/>
  <c r="E12" i="90"/>
  <c r="D12" i="90"/>
  <c r="G11" i="90"/>
  <c r="H11" i="90" s="1"/>
  <c r="F11" i="90"/>
  <c r="E11" i="90"/>
  <c r="D11" i="90"/>
  <c r="G10" i="90"/>
  <c r="H10" i="90" s="1"/>
  <c r="F10" i="90"/>
  <c r="E10" i="90"/>
  <c r="D10" i="90"/>
  <c r="G9" i="90"/>
  <c r="H9" i="90" s="1"/>
  <c r="F9" i="90"/>
  <c r="E9" i="90"/>
  <c r="D9" i="90"/>
  <c r="F8" i="90"/>
  <c r="E8" i="90"/>
  <c r="D8" i="90"/>
  <c r="F7" i="90"/>
  <c r="E7" i="90"/>
  <c r="D7" i="90"/>
  <c r="L6" i="90"/>
  <c r="K6" i="90"/>
  <c r="J6" i="90"/>
  <c r="I6" i="90"/>
  <c r="E6" i="90"/>
  <c r="D6" i="90"/>
  <c r="A6" i="90"/>
  <c r="Q5" i="90"/>
  <c r="P5" i="90"/>
  <c r="O5" i="90"/>
  <c r="N5" i="90"/>
  <c r="M5" i="90"/>
  <c r="L5" i="90"/>
  <c r="K5" i="90"/>
  <c r="J5" i="90"/>
  <c r="I5" i="90"/>
  <c r="H5" i="90"/>
  <c r="G5" i="90"/>
  <c r="F5" i="90"/>
  <c r="E5" i="90"/>
  <c r="D5" i="90"/>
  <c r="B5" i="90"/>
  <c r="A5" i="90"/>
  <c r="D15" i="38"/>
  <c r="E15" i="38"/>
  <c r="F15" i="38"/>
  <c r="G15" i="38"/>
  <c r="H15" i="38" s="1"/>
  <c r="D13" i="38"/>
  <c r="E13" i="38"/>
  <c r="F13" i="38"/>
  <c r="G13" i="38"/>
  <c r="H13" i="38" s="1"/>
  <c r="D14" i="38"/>
  <c r="E14" i="38"/>
  <c r="F14" i="38"/>
  <c r="G14" i="38"/>
  <c r="H14" i="38" s="1"/>
  <c r="D10" i="38"/>
  <c r="E10" i="38"/>
  <c r="F10" i="38"/>
  <c r="G10" i="38"/>
  <c r="H10" i="38" s="1"/>
  <c r="D11" i="38"/>
  <c r="E11" i="38"/>
  <c r="F11" i="38"/>
  <c r="G11" i="38"/>
  <c r="H11" i="38" s="1"/>
  <c r="D12" i="38"/>
  <c r="E12" i="38"/>
  <c r="F12" i="38"/>
  <c r="D8" i="38"/>
  <c r="E8" i="38"/>
  <c r="F8" i="38"/>
  <c r="D9" i="38"/>
  <c r="E9" i="38"/>
  <c r="F9" i="38"/>
  <c r="G9" i="38"/>
  <c r="H9" i="38" s="1"/>
  <c r="E19" i="96" l="1"/>
  <c r="E19" i="94"/>
  <c r="E75" i="1"/>
  <c r="G14" i="96"/>
  <c r="H14" i="96" s="1"/>
  <c r="G14" i="94"/>
  <c r="H14" i="94" s="1"/>
  <c r="G16" i="96"/>
  <c r="H16" i="96" s="1"/>
  <c r="G16" i="94"/>
  <c r="H16" i="94" s="1"/>
  <c r="G17" i="96"/>
  <c r="H17" i="96" s="1"/>
  <c r="G17" i="94"/>
  <c r="H17" i="94" s="1"/>
  <c r="G18" i="96"/>
  <c r="H18" i="96" s="1"/>
  <c r="G18" i="94"/>
  <c r="H18" i="94" s="1"/>
  <c r="G15" i="96"/>
  <c r="H15" i="96" s="1"/>
  <c r="G15" i="94"/>
  <c r="H15" i="94" s="1"/>
  <c r="D8" i="9"/>
  <c r="G19" i="96" l="1"/>
  <c r="H19" i="96" s="1"/>
  <c r="G19" i="94"/>
  <c r="H19" i="94" s="1"/>
  <c r="A60" i="1"/>
  <c r="B60" i="1"/>
  <c r="C60" i="1"/>
  <c r="D60" i="1"/>
  <c r="E60" i="1"/>
  <c r="G60" i="1" s="1"/>
  <c r="A61" i="1"/>
  <c r="B61" i="1"/>
  <c r="C61" i="1"/>
  <c r="D61" i="1"/>
  <c r="E61" i="1"/>
  <c r="G61" i="1" s="1"/>
  <c r="A62" i="1"/>
  <c r="B62" i="1"/>
  <c r="C62" i="1"/>
  <c r="D62" i="1"/>
  <c r="E62" i="1"/>
  <c r="G62" i="1" s="1"/>
  <c r="A63" i="1"/>
  <c r="B63" i="1"/>
  <c r="C63" i="1"/>
  <c r="D63" i="1"/>
  <c r="E63" i="1"/>
  <c r="G63" i="1" s="1"/>
  <c r="A94" i="1"/>
  <c r="B94" i="1"/>
  <c r="D94" i="1"/>
  <c r="E94" i="1"/>
  <c r="G94" i="1" s="1"/>
  <c r="A95" i="1"/>
  <c r="B95" i="1"/>
  <c r="C95" i="1"/>
  <c r="D95" i="1"/>
  <c r="E95" i="1"/>
  <c r="G95" i="1" s="1"/>
  <c r="A96" i="1"/>
  <c r="B96" i="1"/>
  <c r="C96" i="1"/>
  <c r="D96" i="1"/>
  <c r="E96" i="1"/>
  <c r="G96" i="1" s="1"/>
  <c r="A97" i="1"/>
  <c r="B97" i="1"/>
  <c r="C97" i="1"/>
  <c r="D97" i="1"/>
  <c r="E97" i="1"/>
  <c r="G97" i="1" s="1"/>
  <c r="H60" i="1" l="1"/>
  <c r="H62" i="1"/>
  <c r="H61" i="1"/>
  <c r="H63" i="1"/>
  <c r="H96" i="1"/>
  <c r="H95" i="1"/>
  <c r="H97" i="1"/>
  <c r="H94" i="1"/>
  <c r="A41" i="1" l="1"/>
  <c r="B41" i="1"/>
  <c r="C41" i="1"/>
  <c r="D41" i="1"/>
  <c r="E41" i="1"/>
  <c r="G41" i="1" s="1"/>
  <c r="A42" i="1"/>
  <c r="B42" i="1"/>
  <c r="C42" i="1"/>
  <c r="D42" i="1"/>
  <c r="E42" i="1"/>
  <c r="G42" i="1" s="1"/>
  <c r="A43" i="1"/>
  <c r="B43" i="1"/>
  <c r="C43" i="1"/>
  <c r="D43" i="1"/>
  <c r="E43" i="1"/>
  <c r="G43" i="1" s="1"/>
  <c r="A44" i="1"/>
  <c r="B44" i="1"/>
  <c r="C44" i="1"/>
  <c r="D44" i="1"/>
  <c r="E44" i="1"/>
  <c r="G44" i="1" s="1"/>
  <c r="H41" i="1" l="1"/>
  <c r="H42" i="1"/>
  <c r="H43" i="1"/>
  <c r="H44" i="1"/>
  <c r="A93" i="1"/>
  <c r="B93" i="1"/>
  <c r="C93" i="1"/>
  <c r="D93" i="1"/>
  <c r="E93" i="1"/>
  <c r="G93" i="1" s="1"/>
  <c r="A83" i="1"/>
  <c r="B83" i="1"/>
  <c r="C83" i="1"/>
  <c r="D83" i="1"/>
  <c r="E83" i="1"/>
  <c r="G83" i="1" s="1"/>
  <c r="A84" i="1"/>
  <c r="B84" i="1"/>
  <c r="C84" i="1"/>
  <c r="D84" i="1"/>
  <c r="E84" i="1"/>
  <c r="G84" i="1" s="1"/>
  <c r="A85" i="1"/>
  <c r="B85" i="1"/>
  <c r="C85" i="1"/>
  <c r="D85" i="1"/>
  <c r="E85" i="1"/>
  <c r="G85" i="1" s="1"/>
  <c r="A86" i="1"/>
  <c r="B86" i="1"/>
  <c r="C86" i="1"/>
  <c r="D86" i="1"/>
  <c r="E86" i="1"/>
  <c r="G86" i="1" s="1"/>
  <c r="A87" i="1"/>
  <c r="B87" i="1"/>
  <c r="C87" i="1"/>
  <c r="D87" i="1"/>
  <c r="E87" i="1"/>
  <c r="G87" i="1" s="1"/>
  <c r="A88" i="1"/>
  <c r="B88" i="1"/>
  <c r="C88" i="1"/>
  <c r="D88" i="1"/>
  <c r="E88" i="1"/>
  <c r="G88" i="1" s="1"/>
  <c r="A89" i="1"/>
  <c r="B89" i="1"/>
  <c r="C89" i="1"/>
  <c r="D89" i="1"/>
  <c r="E89" i="1"/>
  <c r="G89" i="1" s="1"/>
  <c r="A90" i="1"/>
  <c r="B90" i="1"/>
  <c r="C90" i="1"/>
  <c r="D90" i="1"/>
  <c r="E90" i="1"/>
  <c r="G90" i="1" s="1"/>
  <c r="A91" i="1"/>
  <c r="B91" i="1"/>
  <c r="C91" i="1"/>
  <c r="D91" i="1"/>
  <c r="E91" i="1"/>
  <c r="G91" i="1" s="1"/>
  <c r="A92" i="1"/>
  <c r="B92" i="1"/>
  <c r="C92" i="1"/>
  <c r="D92" i="1"/>
  <c r="E92" i="1"/>
  <c r="G92" i="1" s="1"/>
  <c r="A138" i="1"/>
  <c r="B138" i="1"/>
  <c r="C138" i="1"/>
  <c r="D138" i="1"/>
  <c r="E138" i="1"/>
  <c r="H138" i="1"/>
  <c r="G138" i="1" s="1"/>
  <c r="F138" i="1" s="1"/>
  <c r="A139" i="1"/>
  <c r="B139" i="1"/>
  <c r="C139" i="1"/>
  <c r="D139" i="1"/>
  <c r="E139" i="1"/>
  <c r="H139" i="1"/>
  <c r="G139" i="1" s="1"/>
  <c r="F139" i="1" s="1"/>
  <c r="A140" i="1"/>
  <c r="B140" i="1"/>
  <c r="C140" i="1"/>
  <c r="D140" i="1"/>
  <c r="E140" i="1"/>
  <c r="H140" i="1"/>
  <c r="G140" i="1" s="1"/>
  <c r="F140" i="1" s="1"/>
  <c r="A141" i="1"/>
  <c r="B141" i="1"/>
  <c r="C141" i="1"/>
  <c r="D141" i="1"/>
  <c r="E141" i="1"/>
  <c r="H141" i="1"/>
  <c r="G141" i="1" s="1"/>
  <c r="F141" i="1" s="1"/>
  <c r="A142" i="1"/>
  <c r="B142" i="1"/>
  <c r="C142" i="1"/>
  <c r="D142" i="1"/>
  <c r="A132" i="1"/>
  <c r="B132" i="1"/>
  <c r="C132" i="1"/>
  <c r="D132" i="1"/>
  <c r="E132" i="1"/>
  <c r="A133" i="1"/>
  <c r="B133" i="1"/>
  <c r="C133" i="1"/>
  <c r="D133" i="1"/>
  <c r="E133" i="1"/>
  <c r="A134" i="1"/>
  <c r="B134" i="1"/>
  <c r="C134" i="1"/>
  <c r="D134" i="1"/>
  <c r="E134" i="1"/>
  <c r="A135" i="1"/>
  <c r="B135" i="1"/>
  <c r="C135" i="1"/>
  <c r="D135" i="1"/>
  <c r="E135" i="1"/>
  <c r="A136" i="1"/>
  <c r="B136" i="1"/>
  <c r="C136" i="1"/>
  <c r="D136" i="1"/>
  <c r="E136" i="1"/>
  <c r="A126" i="1"/>
  <c r="B126" i="1"/>
  <c r="H126" i="1" s="1"/>
  <c r="C126" i="1"/>
  <c r="D126" i="1"/>
  <c r="E126" i="1"/>
  <c r="A127" i="1"/>
  <c r="B127" i="1"/>
  <c r="H127" i="1" s="1"/>
  <c r="C127" i="1"/>
  <c r="D127" i="1"/>
  <c r="E127" i="1"/>
  <c r="A128" i="1"/>
  <c r="B128" i="1"/>
  <c r="H128" i="1" s="1"/>
  <c r="C128" i="1"/>
  <c r="D128" i="1"/>
  <c r="E128" i="1"/>
  <c r="A129" i="1"/>
  <c r="B129" i="1"/>
  <c r="H129" i="1" s="1"/>
  <c r="C129" i="1"/>
  <c r="D129" i="1"/>
  <c r="E129" i="1"/>
  <c r="A130" i="1"/>
  <c r="B130" i="1"/>
  <c r="H130" i="1" s="1"/>
  <c r="C130" i="1"/>
  <c r="D130" i="1"/>
  <c r="E130" i="1"/>
  <c r="A109" i="1"/>
  <c r="B109" i="1"/>
  <c r="C109" i="1"/>
  <c r="D109" i="1"/>
  <c r="E109" i="1"/>
  <c r="G109" i="1" s="1"/>
  <c r="A110" i="1"/>
  <c r="B110" i="1"/>
  <c r="C110" i="1"/>
  <c r="D110" i="1"/>
  <c r="E110" i="1"/>
  <c r="G110" i="1" s="1"/>
  <c r="A111" i="1"/>
  <c r="B111" i="1"/>
  <c r="C111" i="1"/>
  <c r="D111" i="1"/>
  <c r="E111" i="1"/>
  <c r="G111" i="1" s="1"/>
  <c r="A112" i="1"/>
  <c r="B112" i="1"/>
  <c r="C112" i="1"/>
  <c r="D112" i="1"/>
  <c r="E112" i="1"/>
  <c r="G112" i="1" s="1"/>
  <c r="A113" i="1"/>
  <c r="B113" i="1"/>
  <c r="C113" i="1"/>
  <c r="D113" i="1"/>
  <c r="E113" i="1"/>
  <c r="G113" i="1" s="1"/>
  <c r="A101" i="1"/>
  <c r="B101" i="1"/>
  <c r="C101" i="1"/>
  <c r="D101" i="1"/>
  <c r="E101" i="1"/>
  <c r="G101" i="1" s="1"/>
  <c r="A102" i="1"/>
  <c r="B102" i="1"/>
  <c r="C102" i="1"/>
  <c r="D102" i="1"/>
  <c r="E102" i="1"/>
  <c r="G102" i="1" s="1"/>
  <c r="A103" i="1"/>
  <c r="B103" i="1"/>
  <c r="C103" i="1"/>
  <c r="D103" i="1"/>
  <c r="E103" i="1"/>
  <c r="G103" i="1" s="1"/>
  <c r="A104" i="1"/>
  <c r="B104" i="1"/>
  <c r="C104" i="1"/>
  <c r="D104" i="1"/>
  <c r="E104" i="1"/>
  <c r="G104" i="1" s="1"/>
  <c r="A105" i="1"/>
  <c r="B105" i="1"/>
  <c r="C105" i="1"/>
  <c r="D105" i="1"/>
  <c r="E105" i="1"/>
  <c r="G105" i="1" s="1"/>
  <c r="C77" i="1"/>
  <c r="C78" i="1"/>
  <c r="C79" i="1"/>
  <c r="C80" i="1"/>
  <c r="C81" i="1"/>
  <c r="C82" i="1"/>
  <c r="C98" i="1"/>
  <c r="D80" i="1"/>
  <c r="E80" i="1"/>
  <c r="G80" i="1" s="1"/>
  <c r="D81" i="1"/>
  <c r="E81" i="1"/>
  <c r="G81" i="1" s="1"/>
  <c r="D82" i="1"/>
  <c r="E82" i="1"/>
  <c r="G82" i="1" s="1"/>
  <c r="D76" i="1"/>
  <c r="E76" i="1"/>
  <c r="G76" i="1" s="1"/>
  <c r="D77" i="1"/>
  <c r="E77" i="1"/>
  <c r="G77" i="1" s="1"/>
  <c r="D78" i="1"/>
  <c r="D79" i="1"/>
  <c r="E79" i="1"/>
  <c r="G79" i="1" s="1"/>
  <c r="A78" i="1"/>
  <c r="B78" i="1"/>
  <c r="A79" i="1"/>
  <c r="B79" i="1"/>
  <c r="A80" i="1"/>
  <c r="B80" i="1"/>
  <c r="A81" i="1"/>
  <c r="B81" i="1"/>
  <c r="A82" i="1"/>
  <c r="B82" i="1"/>
  <c r="B77" i="1"/>
  <c r="A77" i="1"/>
  <c r="A53" i="1"/>
  <c r="B53" i="1"/>
  <c r="C53" i="1"/>
  <c r="D53" i="1"/>
  <c r="E53" i="1"/>
  <c r="G53" i="1" s="1"/>
  <c r="A55" i="1"/>
  <c r="B55" i="1"/>
  <c r="C55" i="1"/>
  <c r="D55" i="1"/>
  <c r="E55" i="1"/>
  <c r="G55" i="1" s="1"/>
  <c r="A56" i="1"/>
  <c r="B56" i="1"/>
  <c r="C56" i="1"/>
  <c r="D56" i="1"/>
  <c r="E56" i="1"/>
  <c r="G56" i="1" s="1"/>
  <c r="A57" i="1"/>
  <c r="B57" i="1"/>
  <c r="C57" i="1"/>
  <c r="D57" i="1"/>
  <c r="E57" i="1"/>
  <c r="G57" i="1" s="1"/>
  <c r="A58" i="1"/>
  <c r="B58" i="1"/>
  <c r="C58" i="1"/>
  <c r="D58" i="1"/>
  <c r="E58" i="1"/>
  <c r="G58" i="1" s="1"/>
  <c r="A36" i="1"/>
  <c r="B36" i="1"/>
  <c r="C36" i="1"/>
  <c r="D36" i="1"/>
  <c r="E36" i="1"/>
  <c r="G36" i="1" s="1"/>
  <c r="A37" i="1"/>
  <c r="B37" i="1"/>
  <c r="C37" i="1"/>
  <c r="D37" i="1"/>
  <c r="E37" i="1"/>
  <c r="G37" i="1" s="1"/>
  <c r="A38" i="1"/>
  <c r="B38" i="1"/>
  <c r="C38" i="1"/>
  <c r="D38" i="1"/>
  <c r="E38" i="1"/>
  <c r="G38" i="1" s="1"/>
  <c r="A39" i="1"/>
  <c r="B39" i="1"/>
  <c r="C39" i="1"/>
  <c r="D39" i="1"/>
  <c r="E39" i="1"/>
  <c r="G39" i="1" s="1"/>
  <c r="A40" i="1"/>
  <c r="B40" i="1"/>
  <c r="C40" i="1"/>
  <c r="D40" i="1"/>
  <c r="E40" i="1"/>
  <c r="G40" i="1" s="1"/>
  <c r="A14" i="1"/>
  <c r="B14" i="1"/>
  <c r="C14" i="1"/>
  <c r="A15" i="1"/>
  <c r="B15" i="1"/>
  <c r="C15" i="1"/>
  <c r="A16" i="1"/>
  <c r="B16" i="1"/>
  <c r="C16" i="1"/>
  <c r="A17" i="1"/>
  <c r="B17" i="1"/>
  <c r="C17" i="1"/>
  <c r="A18" i="1"/>
  <c r="B18" i="1"/>
  <c r="C18" i="1"/>
  <c r="A19" i="1"/>
  <c r="B19" i="1"/>
  <c r="C19" i="1"/>
  <c r="A20" i="1"/>
  <c r="B20" i="1"/>
  <c r="C20" i="1"/>
  <c r="A21" i="1"/>
  <c r="B21" i="1"/>
  <c r="C21" i="1"/>
  <c r="A22" i="1"/>
  <c r="B22" i="1"/>
  <c r="C22" i="1"/>
  <c r="A23" i="1"/>
  <c r="B23" i="1"/>
  <c r="C23" i="1"/>
  <c r="D14" i="1"/>
  <c r="E14" i="1"/>
  <c r="G14" i="1" s="1"/>
  <c r="D15" i="1"/>
  <c r="E15" i="1"/>
  <c r="G15" i="1" s="1"/>
  <c r="D16" i="1"/>
  <c r="E16" i="1"/>
  <c r="G16" i="1" s="1"/>
  <c r="D17" i="1"/>
  <c r="E17" i="1"/>
  <c r="G17" i="1" s="1"/>
  <c r="D18" i="1"/>
  <c r="E18" i="1"/>
  <c r="G18" i="1" s="1"/>
  <c r="D19" i="1"/>
  <c r="E19" i="1"/>
  <c r="G19" i="1" s="1"/>
  <c r="D20" i="1"/>
  <c r="E20" i="1"/>
  <c r="G20" i="1" s="1"/>
  <c r="D21" i="1"/>
  <c r="E21" i="1"/>
  <c r="G21" i="1" s="1"/>
  <c r="D22" i="1"/>
  <c r="E22" i="1"/>
  <c r="G22" i="1" s="1"/>
  <c r="D23" i="1"/>
  <c r="E23" i="1"/>
  <c r="G23" i="1" s="1"/>
  <c r="H20" i="1" l="1"/>
  <c r="H90" i="1"/>
  <c r="H92" i="1"/>
  <c r="H36" i="1"/>
  <c r="H93" i="1"/>
  <c r="H23" i="1"/>
  <c r="H89" i="1"/>
  <c r="H88" i="1"/>
  <c r="H86" i="1"/>
  <c r="H83" i="1"/>
  <c r="H85" i="1"/>
  <c r="H22" i="1"/>
  <c r="H91" i="1"/>
  <c r="H87" i="1"/>
  <c r="H84" i="1"/>
  <c r="H82" i="1"/>
  <c r="H17" i="1"/>
  <c r="H55" i="1"/>
  <c r="H111" i="1"/>
  <c r="H58" i="1"/>
  <c r="H77" i="1"/>
  <c r="H109" i="1"/>
  <c r="H15" i="1"/>
  <c r="H39" i="1"/>
  <c r="H105" i="1"/>
  <c r="H18" i="1"/>
  <c r="H40" i="1"/>
  <c r="H37" i="1"/>
  <c r="H79" i="1"/>
  <c r="H103" i="1"/>
  <c r="H102" i="1"/>
  <c r="H80" i="1"/>
  <c r="H19" i="1"/>
  <c r="H14" i="1"/>
  <c r="H112" i="1"/>
  <c r="H53" i="1"/>
  <c r="H113" i="1"/>
  <c r="H81" i="1"/>
  <c r="H38" i="1"/>
  <c r="H56" i="1"/>
  <c r="H104" i="1"/>
  <c r="H57" i="1"/>
  <c r="H110" i="1"/>
  <c r="H101" i="1"/>
  <c r="H16" i="1"/>
  <c r="H21" i="1"/>
  <c r="H21" i="7"/>
  <c r="H20" i="7"/>
  <c r="G7" i="90" s="1"/>
  <c r="H7" i="90" s="1"/>
  <c r="H19" i="7"/>
  <c r="H18" i="7"/>
  <c r="F10" i="7"/>
  <c r="E9" i="103" s="1"/>
  <c r="F9" i="7"/>
  <c r="E10" i="103" s="1"/>
  <c r="E78" i="1" l="1"/>
  <c r="G78" i="1" s="1"/>
  <c r="H78" i="1" s="1"/>
  <c r="E23" i="96"/>
  <c r="E23" i="94"/>
  <c r="G8" i="93"/>
  <c r="H8" i="93" s="1"/>
  <c r="G8" i="95"/>
  <c r="H8" i="95" s="1"/>
  <c r="G7" i="91"/>
  <c r="H7" i="91" s="1"/>
  <c r="G7" i="92"/>
  <c r="H7" i="92" s="1"/>
  <c r="B17" i="38" l="1"/>
  <c r="I17" i="38" s="1"/>
  <c r="F16" i="38"/>
  <c r="E16" i="38"/>
  <c r="D16" i="38"/>
  <c r="G7" i="38"/>
  <c r="H7" i="38" s="1"/>
  <c r="F7" i="38"/>
  <c r="E7" i="38"/>
  <c r="D7" i="38"/>
  <c r="L6" i="38"/>
  <c r="K6" i="38"/>
  <c r="J6" i="38"/>
  <c r="I6" i="38"/>
  <c r="E6" i="38"/>
  <c r="D6" i="38"/>
  <c r="A6" i="38"/>
  <c r="Q5" i="38"/>
  <c r="P5" i="38"/>
  <c r="O5" i="38"/>
  <c r="N5" i="38"/>
  <c r="M5" i="38"/>
  <c r="L5" i="38"/>
  <c r="K5" i="38"/>
  <c r="J5" i="38"/>
  <c r="I5" i="38"/>
  <c r="H5" i="38"/>
  <c r="G5" i="38"/>
  <c r="F5" i="38"/>
  <c r="E5" i="38"/>
  <c r="D5" i="38"/>
  <c r="B5" i="38"/>
  <c r="A5" i="38"/>
  <c r="C116" i="1"/>
  <c r="C115" i="1"/>
  <c r="D6" i="16" l="1"/>
  <c r="D8" i="19"/>
  <c r="E8" i="19"/>
  <c r="F8" i="19"/>
  <c r="D9" i="19"/>
  <c r="E9" i="19"/>
  <c r="F9" i="19"/>
  <c r="D6" i="19"/>
  <c r="D9" i="17" l="1"/>
  <c r="E9" i="17"/>
  <c r="F9" i="17"/>
  <c r="A76" i="1"/>
  <c r="B76" i="1"/>
  <c r="H76" i="1" s="1"/>
  <c r="C76" i="1"/>
  <c r="D10" i="21" l="1"/>
  <c r="E10" i="21"/>
  <c r="F10" i="21"/>
  <c r="D12" i="21"/>
  <c r="E12" i="21"/>
  <c r="F12" i="21"/>
  <c r="D13" i="21"/>
  <c r="E13" i="21"/>
  <c r="F13" i="21"/>
  <c r="B14" i="21"/>
  <c r="F7" i="21"/>
  <c r="E7" i="21"/>
  <c r="D7" i="21"/>
  <c r="L6" i="21"/>
  <c r="K6" i="21"/>
  <c r="J6" i="21"/>
  <c r="I6" i="21"/>
  <c r="E6" i="21"/>
  <c r="D6" i="21"/>
  <c r="A6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B5" i="21"/>
  <c r="A5" i="21"/>
  <c r="F7" i="20"/>
  <c r="F17" i="20" s="1"/>
  <c r="F8" i="20"/>
  <c r="F18" i="20" s="1"/>
  <c r="F9" i="20"/>
  <c r="F19" i="20" s="1"/>
  <c r="F10" i="20"/>
  <c r="F20" i="20" s="1"/>
  <c r="E7" i="20"/>
  <c r="E17" i="20" s="1"/>
  <c r="E8" i="20"/>
  <c r="E18" i="20" s="1"/>
  <c r="E9" i="20"/>
  <c r="E19" i="20" s="1"/>
  <c r="E10" i="20"/>
  <c r="E20" i="20" s="1"/>
  <c r="D7" i="20"/>
  <c r="D17" i="20" s="1"/>
  <c r="D8" i="20"/>
  <c r="D18" i="20" s="1"/>
  <c r="D9" i="20"/>
  <c r="D19" i="20" s="1"/>
  <c r="D10" i="20"/>
  <c r="D20" i="20" s="1"/>
  <c r="B11" i="20"/>
  <c r="L6" i="20"/>
  <c r="K6" i="20"/>
  <c r="J6" i="20"/>
  <c r="I6" i="20"/>
  <c r="E6" i="20"/>
  <c r="E16" i="20" s="1"/>
  <c r="D6" i="20"/>
  <c r="D16" i="20" s="1"/>
  <c r="A6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E15" i="20" s="1"/>
  <c r="D5" i="20"/>
  <c r="D15" i="20" s="1"/>
  <c r="B5" i="20"/>
  <c r="B15" i="20" s="1"/>
  <c r="A5" i="20"/>
  <c r="B11" i="19"/>
  <c r="F10" i="19"/>
  <c r="E10" i="19"/>
  <c r="D10" i="19"/>
  <c r="F7" i="19"/>
  <c r="E7" i="19"/>
  <c r="D7" i="19"/>
  <c r="L6" i="19"/>
  <c r="K6" i="19"/>
  <c r="J6" i="19"/>
  <c r="I6" i="19"/>
  <c r="E6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B5" i="19"/>
  <c r="A5" i="19"/>
  <c r="G9" i="17"/>
  <c r="H9" i="17" s="1"/>
  <c r="D8" i="17"/>
  <c r="E8" i="17"/>
  <c r="F8" i="17"/>
  <c r="B11" i="17"/>
  <c r="F10" i="17"/>
  <c r="E10" i="17"/>
  <c r="D10" i="17"/>
  <c r="F7" i="17"/>
  <c r="E7" i="17"/>
  <c r="D7" i="17"/>
  <c r="L6" i="17"/>
  <c r="K6" i="17"/>
  <c r="J6" i="17"/>
  <c r="I6" i="17"/>
  <c r="E6" i="17"/>
  <c r="D6" i="17"/>
  <c r="A6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B5" i="17"/>
  <c r="A5" i="17"/>
  <c r="D8" i="16"/>
  <c r="E8" i="16"/>
  <c r="F8" i="16"/>
  <c r="B9" i="16"/>
  <c r="F7" i="16"/>
  <c r="E7" i="16"/>
  <c r="D7" i="16"/>
  <c r="L6" i="16"/>
  <c r="K6" i="16"/>
  <c r="J6" i="16"/>
  <c r="I6" i="16"/>
  <c r="E6" i="16"/>
  <c r="A6" i="16"/>
  <c r="Q5" i="16"/>
  <c r="P5" i="16"/>
  <c r="O5" i="16"/>
  <c r="N5" i="16"/>
  <c r="M5" i="16"/>
  <c r="L5" i="16"/>
  <c r="K5" i="16"/>
  <c r="J5" i="16"/>
  <c r="I5" i="16"/>
  <c r="H5" i="16"/>
  <c r="G5" i="16"/>
  <c r="F5" i="16"/>
  <c r="E5" i="16"/>
  <c r="D5" i="16"/>
  <c r="B5" i="16"/>
  <c r="A5" i="16"/>
  <c r="B9" i="15"/>
  <c r="F8" i="15"/>
  <c r="E8" i="15"/>
  <c r="F7" i="15"/>
  <c r="E7" i="15"/>
  <c r="D7" i="15"/>
  <c r="L6" i="15"/>
  <c r="K6" i="15"/>
  <c r="J6" i="15"/>
  <c r="I6" i="15"/>
  <c r="E6" i="15"/>
  <c r="D6" i="15"/>
  <c r="A6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B5" i="15"/>
  <c r="A5" i="15"/>
  <c r="D4" i="1" l="1"/>
  <c r="E4" i="1"/>
  <c r="D5" i="1"/>
  <c r="D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47" i="1"/>
  <c r="E47" i="1"/>
  <c r="D48" i="1"/>
  <c r="E48" i="1"/>
  <c r="D49" i="1"/>
  <c r="E49" i="1"/>
  <c r="D50" i="1"/>
  <c r="E50" i="1"/>
  <c r="D51" i="1"/>
  <c r="E51" i="1"/>
  <c r="D52" i="1"/>
  <c r="E52" i="1"/>
  <c r="D59" i="1"/>
  <c r="E59" i="1"/>
  <c r="D64" i="1"/>
  <c r="E64" i="1"/>
  <c r="D65" i="1"/>
  <c r="D66" i="1"/>
  <c r="E66" i="1"/>
  <c r="D67" i="1"/>
  <c r="E67" i="1"/>
  <c r="D68" i="1"/>
  <c r="E68" i="1"/>
  <c r="D69" i="1"/>
  <c r="E69" i="1"/>
  <c r="D98" i="1"/>
  <c r="E98" i="1"/>
  <c r="D99" i="1"/>
  <c r="E99" i="1"/>
  <c r="D100" i="1"/>
  <c r="E100" i="1"/>
  <c r="D106" i="1"/>
  <c r="E106" i="1"/>
  <c r="D107" i="1"/>
  <c r="E107" i="1"/>
  <c r="D108" i="1"/>
  <c r="E108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31" i="1"/>
  <c r="E131" i="1"/>
  <c r="D137" i="1"/>
  <c r="E137" i="1"/>
  <c r="E3" i="1"/>
  <c r="B10" i="12"/>
  <c r="L9" i="12"/>
  <c r="K9" i="12"/>
  <c r="J9" i="12"/>
  <c r="I9" i="12"/>
  <c r="A9" i="12"/>
  <c r="L8" i="12"/>
  <c r="K8" i="12"/>
  <c r="J8" i="12"/>
  <c r="I8" i="12"/>
  <c r="A8" i="12"/>
  <c r="L6" i="12"/>
  <c r="K6" i="12"/>
  <c r="J6" i="12"/>
  <c r="I6" i="12"/>
  <c r="A6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B5" i="12"/>
  <c r="A5" i="12"/>
  <c r="D15" i="2"/>
  <c r="E15" i="2"/>
  <c r="F15" i="2"/>
  <c r="D16" i="2"/>
  <c r="E16" i="2"/>
  <c r="F16" i="2"/>
  <c r="D17" i="2"/>
  <c r="E17" i="2"/>
  <c r="F17" i="2"/>
  <c r="F6" i="2"/>
  <c r="E6" i="2"/>
  <c r="D6" i="2"/>
  <c r="C137" i="1"/>
  <c r="C131" i="1"/>
  <c r="C125" i="1"/>
  <c r="C124" i="1"/>
  <c r="C123" i="1"/>
  <c r="C122" i="1"/>
  <c r="C121" i="1"/>
  <c r="C120" i="1"/>
  <c r="C119" i="1"/>
  <c r="C118" i="1"/>
  <c r="C117" i="1"/>
  <c r="C114" i="1"/>
  <c r="C108" i="1"/>
  <c r="C107" i="1"/>
  <c r="C106" i="1"/>
  <c r="C100" i="1"/>
  <c r="C99" i="1"/>
  <c r="C69" i="1"/>
  <c r="C68" i="1"/>
  <c r="C67" i="1"/>
  <c r="C66" i="1"/>
  <c r="C65" i="1"/>
  <c r="C64" i="1"/>
  <c r="C59" i="1"/>
  <c r="C52" i="1"/>
  <c r="C51" i="1"/>
  <c r="C50" i="1"/>
  <c r="C49" i="1"/>
  <c r="C48" i="1"/>
  <c r="C47" i="1"/>
  <c r="C35" i="1"/>
  <c r="C34" i="1"/>
  <c r="C33" i="1"/>
  <c r="C32" i="1"/>
  <c r="C31" i="1"/>
  <c r="C30" i="1"/>
  <c r="C29" i="1"/>
  <c r="C28" i="1"/>
  <c r="C27" i="1"/>
  <c r="C26" i="1"/>
  <c r="C25" i="1"/>
  <c r="C24" i="1"/>
  <c r="C13" i="1"/>
  <c r="C12" i="1"/>
  <c r="C11" i="1"/>
  <c r="C10" i="1"/>
  <c r="C9" i="1"/>
  <c r="C8" i="1"/>
  <c r="C7" i="1"/>
  <c r="C6" i="1"/>
  <c r="C5" i="1"/>
  <c r="C4" i="1"/>
  <c r="D3" i="1"/>
  <c r="E6" i="10"/>
  <c r="D7" i="10"/>
  <c r="E7" i="10"/>
  <c r="E8" i="10"/>
  <c r="F8" i="10"/>
  <c r="D9" i="10"/>
  <c r="E9" i="10"/>
  <c r="F9" i="10"/>
  <c r="F8" i="9" l="1"/>
  <c r="F9" i="9"/>
  <c r="E7" i="9"/>
  <c r="E8" i="9"/>
  <c r="E9" i="9"/>
  <c r="D7" i="9"/>
  <c r="D9" i="9"/>
  <c r="H38" i="7"/>
  <c r="B10" i="10"/>
  <c r="L6" i="10"/>
  <c r="K6" i="10"/>
  <c r="J6" i="10"/>
  <c r="I6" i="10"/>
  <c r="D6" i="10"/>
  <c r="A6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B5" i="10"/>
  <c r="A5" i="10"/>
  <c r="B3" i="1"/>
  <c r="B9" i="1"/>
  <c r="G9" i="1"/>
  <c r="H12" i="7"/>
  <c r="G15" i="2" l="1"/>
  <c r="H15" i="2" s="1"/>
  <c r="G8" i="103"/>
  <c r="H8" i="103" s="1"/>
  <c r="G8" i="91"/>
  <c r="H8" i="91" s="1"/>
  <c r="G8" i="92"/>
  <c r="H8" i="92" s="1"/>
  <c r="G10" i="19"/>
  <c r="H10" i="19" s="1"/>
  <c r="G9" i="20"/>
  <c r="H9" i="20" s="1"/>
  <c r="G10" i="17"/>
  <c r="H10" i="17" s="1"/>
  <c r="G9" i="10"/>
  <c r="H9" i="10" s="1"/>
  <c r="I38" i="7"/>
  <c r="B10" i="9"/>
  <c r="E6" i="9"/>
  <c r="D6" i="9"/>
  <c r="A3" i="1"/>
  <c r="C3" i="1"/>
  <c r="A4" i="1"/>
  <c r="B4" i="1"/>
  <c r="A5" i="1"/>
  <c r="B5" i="1"/>
  <c r="A6" i="1"/>
  <c r="B6" i="1"/>
  <c r="A7" i="1"/>
  <c r="B7" i="1"/>
  <c r="A8" i="1"/>
  <c r="B8" i="1"/>
  <c r="A10" i="1"/>
  <c r="B10" i="1"/>
  <c r="A11" i="1"/>
  <c r="B11" i="1"/>
  <c r="A12" i="1"/>
  <c r="B12" i="1"/>
  <c r="A13" i="1"/>
  <c r="B1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47" i="1"/>
  <c r="B47" i="1"/>
  <c r="A48" i="1"/>
  <c r="B48" i="1"/>
  <c r="A49" i="1"/>
  <c r="B49" i="1"/>
  <c r="A50" i="1"/>
  <c r="B50" i="1"/>
  <c r="A51" i="1"/>
  <c r="B51" i="1"/>
  <c r="A52" i="1"/>
  <c r="B52" i="1"/>
  <c r="A59" i="1"/>
  <c r="B59" i="1"/>
  <c r="A64" i="1"/>
  <c r="B64" i="1"/>
  <c r="A65" i="1"/>
  <c r="B65" i="1"/>
  <c r="A66" i="1"/>
  <c r="B66" i="1"/>
  <c r="A67" i="1"/>
  <c r="B67" i="1"/>
  <c r="A68" i="1"/>
  <c r="B68" i="1"/>
  <c r="E142" i="1" s="1"/>
  <c r="A69" i="1"/>
  <c r="B69" i="1"/>
  <c r="E143" i="1" s="1"/>
  <c r="A98" i="1"/>
  <c r="B98" i="1"/>
  <c r="A99" i="1"/>
  <c r="B99" i="1"/>
  <c r="A100" i="1"/>
  <c r="B100" i="1"/>
  <c r="A106" i="1"/>
  <c r="B106" i="1"/>
  <c r="A107" i="1"/>
  <c r="B107" i="1"/>
  <c r="A108" i="1"/>
  <c r="B108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31" i="1"/>
  <c r="B131" i="1"/>
  <c r="A137" i="1"/>
  <c r="B137" i="1"/>
  <c r="B2" i="1"/>
  <c r="C2" i="1"/>
  <c r="A2" i="1"/>
  <c r="L6" i="9"/>
  <c r="K6" i="9"/>
  <c r="J6" i="9"/>
  <c r="I6" i="9"/>
  <c r="A6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B5" i="9"/>
  <c r="A5" i="9"/>
  <c r="D2" i="1"/>
  <c r="E2" i="1"/>
  <c r="F2" i="1"/>
  <c r="G2" i="1"/>
  <c r="H2" i="1"/>
  <c r="I2" i="1"/>
  <c r="J2" i="1"/>
  <c r="K2" i="1"/>
  <c r="H8" i="7"/>
  <c r="I6" i="2"/>
  <c r="J6" i="2"/>
  <c r="K6" i="2"/>
  <c r="L6" i="2"/>
  <c r="I16" i="2"/>
  <c r="J16" i="2"/>
  <c r="K16" i="2"/>
  <c r="L16" i="2"/>
  <c r="I17" i="2"/>
  <c r="J17" i="2"/>
  <c r="K17" i="2"/>
  <c r="L17" i="2"/>
  <c r="A6" i="2"/>
  <c r="A16" i="2"/>
  <c r="A17" i="2"/>
  <c r="L5" i="2"/>
  <c r="M5" i="2"/>
  <c r="N5" i="2"/>
  <c r="O5" i="2"/>
  <c r="P5" i="2"/>
  <c r="Q5" i="2"/>
  <c r="K5" i="2"/>
  <c r="J5" i="2"/>
  <c r="I5" i="2"/>
  <c r="F5" i="2"/>
  <c r="G5" i="2"/>
  <c r="H5" i="2"/>
  <c r="E5" i="2"/>
  <c r="D5" i="2"/>
  <c r="B5" i="2"/>
  <c r="A5" i="2"/>
  <c r="I129" i="7"/>
  <c r="I128" i="7"/>
  <c r="H127" i="7"/>
  <c r="I127" i="7" s="1"/>
  <c r="H126" i="7"/>
  <c r="I126" i="7" s="1"/>
  <c r="H125" i="7"/>
  <c r="I125" i="7" s="1"/>
  <c r="H124" i="7"/>
  <c r="I124" i="7" s="1"/>
  <c r="H123" i="7"/>
  <c r="I123" i="7" s="1"/>
  <c r="H122" i="7"/>
  <c r="I122" i="7" s="1"/>
  <c r="H121" i="7"/>
  <c r="I121" i="7" s="1"/>
  <c r="H120" i="7"/>
  <c r="I120" i="7" s="1"/>
  <c r="H119" i="7"/>
  <c r="I119" i="7" s="1"/>
  <c r="H118" i="7"/>
  <c r="H112" i="7"/>
  <c r="I112" i="7" s="1"/>
  <c r="H111" i="7"/>
  <c r="H110" i="7"/>
  <c r="G13" i="102" s="1"/>
  <c r="H13" i="102" s="1"/>
  <c r="H109" i="7"/>
  <c r="H103" i="7"/>
  <c r="H102" i="7"/>
  <c r="G10" i="99" s="1"/>
  <c r="H101" i="7"/>
  <c r="I72" i="7"/>
  <c r="G11" i="21"/>
  <c r="H11" i="21" s="1"/>
  <c r="H69" i="7"/>
  <c r="H62" i="7"/>
  <c r="I54" i="7"/>
  <c r="I53" i="7"/>
  <c r="I52" i="7"/>
  <c r="I51" i="7"/>
  <c r="H50" i="7"/>
  <c r="H37" i="7"/>
  <c r="I37" i="7" s="1"/>
  <c r="H36" i="7"/>
  <c r="G8" i="90" s="1"/>
  <c r="H8" i="90" s="1"/>
  <c r="H35" i="7"/>
  <c r="G14" i="103" s="1"/>
  <c r="H14" i="103" s="1"/>
  <c r="H34" i="7"/>
  <c r="G15" i="103" s="1"/>
  <c r="H15" i="103" s="1"/>
  <c r="H33" i="7"/>
  <c r="G12" i="103" s="1"/>
  <c r="H12" i="103" s="1"/>
  <c r="G11" i="103"/>
  <c r="H11" i="103" s="1"/>
  <c r="H31" i="7"/>
  <c r="H30" i="7"/>
  <c r="G13" i="100"/>
  <c r="H13" i="100" s="1"/>
  <c r="H28" i="7"/>
  <c r="H27" i="7"/>
  <c r="I27" i="7" s="1"/>
  <c r="H16" i="7"/>
  <c r="G13" i="103" s="1"/>
  <c r="H13" i="103" s="1"/>
  <c r="H15" i="7"/>
  <c r="H14" i="7"/>
  <c r="H13" i="7"/>
  <c r="H11" i="7"/>
  <c r="G9" i="9" s="1"/>
  <c r="H9" i="9" s="1"/>
  <c r="H10" i="7"/>
  <c r="H9" i="7"/>
  <c r="H7" i="7"/>
  <c r="I7" i="7" s="1"/>
  <c r="H6" i="7"/>
  <c r="I6" i="7" s="1"/>
  <c r="G7" i="1"/>
  <c r="G8" i="1"/>
  <c r="G6" i="1"/>
  <c r="G3" i="1"/>
  <c r="H3" i="1" s="1"/>
  <c r="G17" i="2" l="1"/>
  <c r="H17" i="2" s="1"/>
  <c r="G9" i="103"/>
  <c r="H9" i="103" s="1"/>
  <c r="G16" i="2"/>
  <c r="H16" i="2" s="1"/>
  <c r="G10" i="103"/>
  <c r="H10" i="103" s="1"/>
  <c r="G9" i="2"/>
  <c r="H9" i="2" s="1"/>
  <c r="G6" i="103"/>
  <c r="H6" i="103" s="1"/>
  <c r="G7" i="2"/>
  <c r="H7" i="2" s="1"/>
  <c r="G11" i="2"/>
  <c r="H11" i="2" s="1"/>
  <c r="G8" i="2"/>
  <c r="H8" i="2" s="1"/>
  <c r="G13" i="2"/>
  <c r="H13" i="2" s="1"/>
  <c r="G10" i="2"/>
  <c r="H10" i="2" s="1"/>
  <c r="G12" i="2"/>
  <c r="H12" i="2" s="1"/>
  <c r="G14" i="2"/>
  <c r="H14" i="2" s="1"/>
  <c r="G6" i="2"/>
  <c r="H6" i="2" s="1"/>
  <c r="I8" i="7"/>
  <c r="G9" i="21"/>
  <c r="H9" i="21" s="1"/>
  <c r="G8" i="102"/>
  <c r="H8" i="102" s="1"/>
  <c r="G9" i="99"/>
  <c r="H9" i="99" s="1"/>
  <c r="G8" i="97"/>
  <c r="H8" i="97" s="1"/>
  <c r="I102" i="7"/>
  <c r="G8" i="101"/>
  <c r="H8" i="101" s="1"/>
  <c r="G8" i="100"/>
  <c r="H8" i="100" s="1"/>
  <c r="H10" i="99"/>
  <c r="G9" i="97"/>
  <c r="H9" i="97" s="1"/>
  <c r="I111" i="7"/>
  <c r="G12" i="99"/>
  <c r="H12" i="99" s="1"/>
  <c r="G12" i="101"/>
  <c r="H12" i="101" s="1"/>
  <c r="G17" i="99"/>
  <c r="H17" i="99" s="1"/>
  <c r="G9" i="102"/>
  <c r="H9" i="102" s="1"/>
  <c r="G12" i="100"/>
  <c r="H12" i="100" s="1"/>
  <c r="G11" i="97"/>
  <c r="H11" i="97" s="1"/>
  <c r="G14" i="102"/>
  <c r="H14" i="102" s="1"/>
  <c r="G9" i="101"/>
  <c r="H9" i="101" s="1"/>
  <c r="G21" i="99"/>
  <c r="H21" i="99" s="1"/>
  <c r="G13" i="99"/>
  <c r="H13" i="99" s="1"/>
  <c r="G9" i="100"/>
  <c r="H9" i="100" s="1"/>
  <c r="G9" i="96"/>
  <c r="H9" i="96" s="1"/>
  <c r="G9" i="94"/>
  <c r="H9" i="94" s="1"/>
  <c r="G12" i="90"/>
  <c r="H12" i="90" s="1"/>
  <c r="G13" i="91"/>
  <c r="H13" i="91" s="1"/>
  <c r="G13" i="92"/>
  <c r="H13" i="92" s="1"/>
  <c r="G12" i="38"/>
  <c r="H12" i="38" s="1"/>
  <c r="G10" i="101"/>
  <c r="H10" i="101" s="1"/>
  <c r="G14" i="99"/>
  <c r="H14" i="99" s="1"/>
  <c r="G10" i="100"/>
  <c r="H10" i="100" s="1"/>
  <c r="G13" i="101"/>
  <c r="H13" i="101" s="1"/>
  <c r="G18" i="99"/>
  <c r="H18" i="99" s="1"/>
  <c r="G10" i="102"/>
  <c r="H10" i="102" s="1"/>
  <c r="G14" i="100"/>
  <c r="H14" i="100" s="1"/>
  <c r="G12" i="97"/>
  <c r="H12" i="97" s="1"/>
  <c r="I110" i="7"/>
  <c r="G11" i="99"/>
  <c r="H11" i="99" s="1"/>
  <c r="G10" i="97"/>
  <c r="H10" i="97" s="1"/>
  <c r="G12" i="102"/>
  <c r="H12" i="102" s="1"/>
  <c r="G20" i="99"/>
  <c r="H20" i="99" s="1"/>
  <c r="G10" i="98"/>
  <c r="H10" i="98" s="1"/>
  <c r="G8" i="98"/>
  <c r="H8" i="98" s="1"/>
  <c r="G7" i="101"/>
  <c r="H7" i="101" s="1"/>
  <c r="G7" i="102"/>
  <c r="H7" i="102" s="1"/>
  <c r="G7" i="100"/>
  <c r="H7" i="100" s="1"/>
  <c r="G8" i="99"/>
  <c r="H8" i="99" s="1"/>
  <c r="G7" i="97"/>
  <c r="H7" i="97" s="1"/>
  <c r="G7" i="98"/>
  <c r="H7" i="98" s="1"/>
  <c r="G7" i="99"/>
  <c r="H7" i="99" s="1"/>
  <c r="I103" i="7"/>
  <c r="G15" i="99"/>
  <c r="H15" i="99" s="1"/>
  <c r="G8" i="21"/>
  <c r="H8" i="21" s="1"/>
  <c r="I69" i="7"/>
  <c r="G11" i="96"/>
  <c r="H11" i="96" s="1"/>
  <c r="G11" i="94"/>
  <c r="H11" i="94" s="1"/>
  <c r="I70" i="7"/>
  <c r="G12" i="96"/>
  <c r="H12" i="96" s="1"/>
  <c r="G12" i="94"/>
  <c r="H12" i="94" s="1"/>
  <c r="I71" i="7"/>
  <c r="G13" i="96"/>
  <c r="H13" i="96" s="1"/>
  <c r="G13" i="94"/>
  <c r="H13" i="94" s="1"/>
  <c r="H9" i="95"/>
  <c r="G9" i="93"/>
  <c r="H9" i="93" s="1"/>
  <c r="G16" i="91"/>
  <c r="H16" i="91" s="1"/>
  <c r="G16" i="90"/>
  <c r="H16" i="90" s="1"/>
  <c r="G16" i="92"/>
  <c r="H16" i="92" s="1"/>
  <c r="I13" i="7"/>
  <c r="G7" i="93"/>
  <c r="H7" i="93" s="1"/>
  <c r="G7" i="95"/>
  <c r="H7" i="95" s="1"/>
  <c r="I55" i="7"/>
  <c r="G12" i="93"/>
  <c r="H12" i="93" s="1"/>
  <c r="G8" i="38"/>
  <c r="H8" i="38" s="1"/>
  <c r="G16" i="38"/>
  <c r="H16" i="38" s="1"/>
  <c r="E144" i="1"/>
  <c r="G8" i="19"/>
  <c r="H8" i="19" s="1"/>
  <c r="I118" i="7"/>
  <c r="G9" i="19"/>
  <c r="H9" i="19" s="1"/>
  <c r="I62" i="7"/>
  <c r="G7" i="21"/>
  <c r="H7" i="21" s="1"/>
  <c r="G7" i="16"/>
  <c r="H7" i="16" s="1"/>
  <c r="I109" i="7"/>
  <c r="I14" i="7"/>
  <c r="G12" i="21"/>
  <c r="H12" i="21" s="1"/>
  <c r="I67" i="7"/>
  <c r="G8" i="15"/>
  <c r="H8" i="15" s="1"/>
  <c r="G10" i="20"/>
  <c r="H10" i="20" s="1"/>
  <c r="G8" i="10"/>
  <c r="H8" i="10" s="1"/>
  <c r="G8" i="17"/>
  <c r="H8" i="17" s="1"/>
  <c r="G13" i="21"/>
  <c r="H13" i="21" s="1"/>
  <c r="G8" i="20"/>
  <c r="H8" i="20" s="1"/>
  <c r="G7" i="15"/>
  <c r="H7" i="15" s="1"/>
  <c r="I50" i="7"/>
  <c r="G7" i="17"/>
  <c r="H7" i="17" s="1"/>
  <c r="G7" i="20"/>
  <c r="H7" i="20" s="1"/>
  <c r="G7" i="19"/>
  <c r="H7" i="19" s="1"/>
  <c r="G8" i="16"/>
  <c r="H8" i="16" s="1"/>
  <c r="I101" i="7"/>
  <c r="G10" i="21"/>
  <c r="H10" i="21" s="1"/>
  <c r="G7" i="12"/>
  <c r="H7" i="12" s="1"/>
  <c r="G8" i="12"/>
  <c r="H8" i="12" s="1"/>
  <c r="G9" i="12"/>
  <c r="H9" i="12" s="1"/>
  <c r="D6" i="12"/>
  <c r="D7" i="12"/>
  <c r="D8" i="12"/>
  <c r="D9" i="12"/>
  <c r="G6" i="12"/>
  <c r="H6" i="12" s="1"/>
  <c r="E7" i="12"/>
  <c r="E8" i="12"/>
  <c r="E9" i="12"/>
  <c r="F6" i="12"/>
  <c r="F7" i="12"/>
  <c r="F8" i="12"/>
  <c r="F9" i="12"/>
  <c r="E6" i="12"/>
  <c r="I16" i="7"/>
  <c r="G8" i="9"/>
  <c r="H8" i="9" s="1"/>
  <c r="I15" i="7"/>
  <c r="B18" i="2"/>
  <c r="G4" i="1"/>
  <c r="H4" i="1" s="1"/>
  <c r="G10" i="1"/>
  <c r="H10" i="1" s="1"/>
  <c r="G11" i="1"/>
  <c r="H11" i="1" s="1"/>
  <c r="G12" i="1"/>
  <c r="H12" i="1" s="1"/>
  <c r="G13" i="1"/>
  <c r="H1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47" i="1"/>
  <c r="G48" i="1"/>
  <c r="H48" i="1" s="1"/>
  <c r="G49" i="1"/>
  <c r="H49" i="1" s="1"/>
  <c r="G50" i="1"/>
  <c r="H50" i="1" s="1"/>
  <c r="G51" i="1"/>
  <c r="H51" i="1" s="1"/>
  <c r="G52" i="1"/>
  <c r="H52" i="1" s="1"/>
  <c r="G59" i="1"/>
  <c r="H59" i="1" s="1"/>
  <c r="G64" i="1"/>
  <c r="H64" i="1" s="1"/>
  <c r="G66" i="1"/>
  <c r="H66" i="1" s="1"/>
  <c r="G67" i="1"/>
  <c r="H67" i="1" s="1"/>
  <c r="G68" i="1"/>
  <c r="H68" i="1" s="1"/>
  <c r="G69" i="1"/>
  <c r="H69" i="1" s="1"/>
  <c r="G98" i="1"/>
  <c r="G99" i="1"/>
  <c r="H99" i="1" s="1"/>
  <c r="G100" i="1"/>
  <c r="H100" i="1" s="1"/>
  <c r="G106" i="1"/>
  <c r="H106" i="1" s="1"/>
  <c r="G107" i="1"/>
  <c r="H107" i="1" s="1"/>
  <c r="G108" i="1"/>
  <c r="H108" i="1" s="1"/>
  <c r="G114" i="1"/>
  <c r="H124" i="1"/>
  <c r="H125" i="1"/>
  <c r="I135" i="7" l="1"/>
  <c r="H135" i="7"/>
  <c r="G7" i="103" s="1"/>
  <c r="H7" i="103" s="1"/>
  <c r="H16" i="103" s="1"/>
  <c r="E10" i="96"/>
  <c r="E10" i="94"/>
  <c r="G7" i="9"/>
  <c r="H7" i="9" s="1"/>
  <c r="H68" i="7"/>
  <c r="E65" i="1"/>
  <c r="G65" i="1" s="1"/>
  <c r="H65" i="1" s="1"/>
  <c r="H10" i="12"/>
  <c r="H137" i="1" s="1"/>
  <c r="G7" i="10"/>
  <c r="H7" i="10" s="1"/>
  <c r="H18" i="2"/>
  <c r="M140" i="106" s="1"/>
  <c r="H5" i="1"/>
  <c r="H47" i="1"/>
  <c r="H114" i="1"/>
  <c r="H98" i="1"/>
  <c r="G141" i="7" l="1"/>
  <c r="H141" i="7" s="1"/>
  <c r="K140" i="106"/>
  <c r="L140" i="106" s="1"/>
  <c r="G6" i="101"/>
  <c r="H6" i="101" s="1"/>
  <c r="H15" i="101" s="1"/>
  <c r="G6" i="98"/>
  <c r="H6" i="98" s="1"/>
  <c r="H11" i="98" s="1"/>
  <c r="G6" i="102"/>
  <c r="H6" i="102" s="1"/>
  <c r="H15" i="102" s="1"/>
  <c r="G6" i="96"/>
  <c r="H6" i="96" s="1"/>
  <c r="G6" i="100"/>
  <c r="H6" i="100" s="1"/>
  <c r="H16" i="100" s="1"/>
  <c r="G6" i="99"/>
  <c r="H6" i="99" s="1"/>
  <c r="H22" i="99" s="1"/>
  <c r="G6" i="97"/>
  <c r="H6" i="97" s="1"/>
  <c r="H14" i="97" s="1"/>
  <c r="G6" i="95"/>
  <c r="H6" i="95" s="1"/>
  <c r="H13" i="95" s="1"/>
  <c r="G6" i="94"/>
  <c r="H6" i="94" s="1"/>
  <c r="G6" i="91"/>
  <c r="G6" i="93"/>
  <c r="H6" i="93" s="1"/>
  <c r="H13" i="93" s="1"/>
  <c r="G6" i="90"/>
  <c r="H6" i="90" s="1"/>
  <c r="H17" i="90" s="1"/>
  <c r="H18" i="90" s="1"/>
  <c r="G6" i="38"/>
  <c r="H6" i="38" s="1"/>
  <c r="H17" i="38" s="1"/>
  <c r="H18" i="38" s="1"/>
  <c r="G10" i="96"/>
  <c r="H10" i="96" s="1"/>
  <c r="G10" i="94"/>
  <c r="H10" i="94" s="1"/>
  <c r="G6" i="17"/>
  <c r="H6" i="17" s="1"/>
  <c r="H11" i="17" s="1"/>
  <c r="G6" i="15"/>
  <c r="H6" i="15" s="1"/>
  <c r="H9" i="15" s="1"/>
  <c r="G6" i="19"/>
  <c r="H6" i="19" s="1"/>
  <c r="H11" i="19" s="1"/>
  <c r="G6" i="16"/>
  <c r="H6" i="16" s="1"/>
  <c r="H9" i="16" s="1"/>
  <c r="G135" i="7"/>
  <c r="F28" i="20" s="1"/>
  <c r="G6" i="20"/>
  <c r="H6" i="20" s="1"/>
  <c r="H11" i="20" s="1"/>
  <c r="G6" i="21"/>
  <c r="H6" i="21" s="1"/>
  <c r="H14" i="21" s="1"/>
  <c r="G137" i="1"/>
  <c r="I141" i="7"/>
  <c r="G6" i="9" s="1"/>
  <c r="H6" i="9" s="1"/>
  <c r="H10" i="9" s="1"/>
  <c r="H131" i="1"/>
  <c r="G131" i="1" s="1"/>
  <c r="G115" i="1"/>
  <c r="H115" i="1" s="1"/>
  <c r="H132" i="1" s="1"/>
  <c r="G132" i="1" s="1"/>
  <c r="F132" i="1" s="1"/>
  <c r="G116" i="1"/>
  <c r="H116" i="1" s="1"/>
  <c r="H133" i="1" s="1"/>
  <c r="G133" i="1" s="1"/>
  <c r="F133" i="1" s="1"/>
  <c r="G117" i="1"/>
  <c r="H117" i="1" s="1"/>
  <c r="H134" i="1" s="1"/>
  <c r="G134" i="1" s="1"/>
  <c r="F134" i="1" s="1"/>
  <c r="G118" i="1"/>
  <c r="H118" i="1" s="1"/>
  <c r="H135" i="1" s="1"/>
  <c r="G135" i="1" s="1"/>
  <c r="F135" i="1" s="1"/>
  <c r="G119" i="1"/>
  <c r="H119" i="1" s="1"/>
  <c r="H136" i="1" s="1"/>
  <c r="G136" i="1" s="1"/>
  <c r="F136" i="1" s="1"/>
  <c r="G120" i="1"/>
  <c r="H120" i="1" s="1"/>
  <c r="G121" i="1"/>
  <c r="H121" i="1" s="1"/>
  <c r="G122" i="1"/>
  <c r="H122" i="1" s="1"/>
  <c r="G123" i="1"/>
  <c r="H123" i="1" s="1"/>
  <c r="F7" i="103" l="1"/>
  <c r="F6" i="92"/>
  <c r="G6" i="92" s="1"/>
  <c r="H6" i="92" s="1"/>
  <c r="H17" i="92" s="1"/>
  <c r="H18" i="92" s="1"/>
  <c r="F7" i="10"/>
  <c r="H24" i="96"/>
  <c r="H6" i="91"/>
  <c r="H17" i="91" s="1"/>
  <c r="H18" i="91" s="1"/>
  <c r="H24" i="94"/>
  <c r="F6" i="100"/>
  <c r="F6" i="99"/>
  <c r="F6" i="97"/>
  <c r="F6" i="101"/>
  <c r="F6" i="98"/>
  <c r="F6" i="102"/>
  <c r="F6" i="96"/>
  <c r="F6" i="90"/>
  <c r="F6" i="95"/>
  <c r="F6" i="94"/>
  <c r="F6" i="91"/>
  <c r="F6" i="93"/>
  <c r="F6" i="38"/>
  <c r="F6" i="21"/>
  <c r="F7" i="9"/>
  <c r="F6" i="20"/>
  <c r="F16" i="20" s="1"/>
  <c r="F6" i="17"/>
  <c r="F6" i="16"/>
  <c r="F6" i="19"/>
  <c r="F6" i="15"/>
  <c r="F137" i="1"/>
  <c r="F131" i="1"/>
  <c r="G6" i="10"/>
  <c r="H6" i="10" s="1"/>
  <c r="H10" i="10" s="1"/>
  <c r="F6" i="10"/>
  <c r="F6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46" authorId="0" shapeId="0" xr:uid="{795985D3-E8E4-4F76-8A8F-BBBE52B2DA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35% de planillas+costo de venta+70% de energía eléctrica de la tienda. 50% de otros gastos gas y tienda de conveniencia</t>
        </r>
      </text>
    </comment>
    <comment ref="G47" authorId="0" shapeId="0" xr:uid="{BFD6A2A5-0DE0-42E5-99DD-4C2D560D89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2019 vs 2020
Comparativo de % neto de ventas de cada año</t>
        </r>
      </text>
    </comment>
    <comment ref="G58" authorId="0" shapeId="0" xr:uid="{0B9D8F44-0C74-4D22-8316-D24B6D5E24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65% planilla y 30% enee
Combustible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47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35% de planillas+costo de venta+70% de energía eléctrica de la tienda. 50% de otros gastos gas y tienda de conveniencia</t>
        </r>
      </text>
    </comment>
    <comment ref="D48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2019 vs 2020
Comparativo de % neto de ventas de cada año</t>
        </r>
      </text>
    </comment>
    <comment ref="D59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65% planilla y 30% enee
Combustible
</t>
        </r>
      </text>
    </comment>
  </commentList>
</comments>
</file>

<file path=xl/sharedStrings.xml><?xml version="1.0" encoding="utf-8"?>
<sst xmlns="http://schemas.openxmlformats.org/spreadsheetml/2006/main" count="1155" uniqueCount="408">
  <si>
    <t xml:space="preserve">Colaborador:  </t>
  </si>
  <si>
    <t>80-90%</t>
  </si>
  <si>
    <t xml:space="preserve">Departamento:  </t>
  </si>
  <si>
    <t>Contenedores</t>
  </si>
  <si>
    <t>Menos de 80%</t>
  </si>
  <si>
    <t>Nota</t>
  </si>
  <si>
    <t>1.2 Lograr meta de contenedores</t>
  </si>
  <si>
    <t>9. SCORE CARD Grupo EXA</t>
  </si>
  <si>
    <t>1.6 Alquileres de contenedores secos (solo o en combos CONMOXA)</t>
  </si>
  <si>
    <t>1.4 Lograr meta de ventas en alquileres de contenedores reefer (solo o en combo)</t>
  </si>
  <si>
    <t>1.3  Lograr  meta de ventas contenedores secos  y modificados(dolares)</t>
  </si>
  <si>
    <t xml:space="preserve">2.5     Aumentar Margen neto en venta de contenedores (modificados y secos) </t>
  </si>
  <si>
    <t>2.6     Aumento en 20% en margen de contribución bruta venta de contenedores</t>
  </si>
  <si>
    <t xml:space="preserve">1.10 Aumentar ventas en articulos Sejue/get504 </t>
  </si>
  <si>
    <t>2.8     Aumento en 20% en margen de contribución bruta alquiler de reefers.</t>
  </si>
  <si>
    <t>2.7     Aumento en 20% en margen de contribución bruta alquiler de bodegas</t>
  </si>
  <si>
    <t>Administracion</t>
  </si>
  <si>
    <t>Nancy Garcia</t>
  </si>
  <si>
    <t>4. Aumentar clima laboral</t>
  </si>
  <si>
    <t>2.1     Reducir gasto administrativo x%</t>
  </si>
  <si>
    <t>3.5     Multas ambientales y fiscales.</t>
  </si>
  <si>
    <t>6.1     Aumentar Rotación de inventario.</t>
  </si>
  <si>
    <t>7.1     Rotación de cuentas por cobrar.</t>
  </si>
  <si>
    <t>7.2     95% de clientes activos dentro del periodo de recuperacion</t>
  </si>
  <si>
    <t>2.3     Reducir Costo por km cabezales propios.</t>
  </si>
  <si>
    <t>5.2     Productividad cabezales Flota Nueva</t>
  </si>
  <si>
    <t>6.2     Disminuir a 5% el desuso de los chasis (equipos con mas de 30 dias en las yardas)</t>
  </si>
  <si>
    <t>6.5 Disminuir a 0-1 el desuso de cabezales propios</t>
  </si>
  <si>
    <t>7. Disminuir el D/E</t>
  </si>
  <si>
    <t>6. Aumentar el ROA</t>
  </si>
  <si>
    <t>3.6    Cierres contables a mas tardar el 6 de cada mes</t>
  </si>
  <si>
    <t>1.8 Aumentar ventas en TREXA</t>
  </si>
  <si>
    <t>David Molina</t>
  </si>
  <si>
    <t>SistemasYProcesos</t>
  </si>
  <si>
    <t>3. Cero incidentes mayores de seguridad y sostenibilidad</t>
  </si>
  <si>
    <t>8. Innovaciones estratégicas de sistemas de Impacto recurrente</t>
  </si>
  <si>
    <t>5.6 Aprovechamiento GPS</t>
  </si>
  <si>
    <t>5. Productividad</t>
  </si>
  <si>
    <t>Agrega el aprovechamiento de dispositivos</t>
  </si>
  <si>
    <t>Sistemas_Y_Procesos</t>
  </si>
  <si>
    <t>Colaboradores</t>
  </si>
  <si>
    <t>Cristian Hernandez</t>
  </si>
  <si>
    <t>Oscar Romero</t>
  </si>
  <si>
    <t>Yadira Reyes</t>
  </si>
  <si>
    <t>2.21  Aumentar % neto del servicio de transporte</t>
  </si>
  <si>
    <t>5.7 Dias de facturacion</t>
  </si>
  <si>
    <t>Keila Rodriguez</t>
  </si>
  <si>
    <t>1.9 Aumento en ventas de GPS a terceros (nuevos clientes)</t>
  </si>
  <si>
    <t>2.12   Costo por mes por GPS (Costo de plataforma + Tigo/claro + otros costos)</t>
  </si>
  <si>
    <t>Mario Murillo</t>
  </si>
  <si>
    <t>Luis Madrid</t>
  </si>
  <si>
    <t>10. CONMOXA</t>
  </si>
  <si>
    <t>1.5 Aumentar Rentas bienes y raices</t>
  </si>
  <si>
    <t xml:space="preserve">Roy Reyes </t>
  </si>
  <si>
    <t>Agregar aprovechaimiento de gps. Mas que ventas y margen.</t>
  </si>
  <si>
    <t>Reemplazar el del margen.</t>
  </si>
  <si>
    <t>Transporte</t>
  </si>
  <si>
    <t>2.17   Reducir costo por km/cabezal TRANEXPA</t>
  </si>
  <si>
    <t>3.7 Cero accidente mayores Y/O robos TRANEXPA</t>
  </si>
  <si>
    <t>5.10  Aumentar kms TRANEXPA</t>
  </si>
  <si>
    <t>5.3     Productividad cabezales  TRANEXPA</t>
  </si>
  <si>
    <t>Colaboradores:</t>
  </si>
  <si>
    <t>2.22 Aumentar margen neto alquiler de contenedores secos (solo o en combo) TREXA</t>
  </si>
  <si>
    <t>1.17 Aumentar el numero de cliente semestralmente</t>
  </si>
  <si>
    <t>3.6.1 Cierre TREXA</t>
  </si>
  <si>
    <t>Tamara Castro</t>
  </si>
  <si>
    <t>5.16 # de notas de credito mensuales</t>
  </si>
  <si>
    <t>Alejandro Garcia</t>
  </si>
  <si>
    <t>Julio Estevez</t>
  </si>
  <si>
    <t>Cecilia Galeano</t>
  </si>
  <si>
    <t xml:space="preserve">2.2     Reducir costo de M&amp;R  de chasis propios </t>
  </si>
  <si>
    <t>Emilia Pineda</t>
  </si>
  <si>
    <t>Juan Manuel</t>
  </si>
  <si>
    <t>Suley Canales</t>
  </si>
  <si>
    <t>Bryan Lopez</t>
  </si>
  <si>
    <t>Carolina Vargas</t>
  </si>
  <si>
    <t>Lorenzo Varela</t>
  </si>
  <si>
    <t>Predio_Puerto_Cortes</t>
  </si>
  <si>
    <t>1.14 Incrementar gate out de contenedores  Puerto Cortés</t>
  </si>
  <si>
    <t>2.9     Reducir Costo administrativo Puerto Cortés con relacion al año anterior</t>
  </si>
  <si>
    <t>2.13    Reducir Costo de M&amp;R por contenedor Puerto Cortes</t>
  </si>
  <si>
    <t>2.14   Reducir costo máquinas (incluye mulita y containers handler) Puerto Cortes</t>
  </si>
  <si>
    <t>2.18 Reducir M&amp;R gensets $ /genset activo 10%</t>
  </si>
  <si>
    <t>5.11 # de fallas operativas adjudicables al predio (Incluye rescates, rechazos) Puerto Cortes</t>
  </si>
  <si>
    <t>6.2.1     Disminuir a 5% el desuso de los equipos Puerto Cortés (equipos con mas de 30 dias en yarda)</t>
  </si>
  <si>
    <t>6.4 No exceder a 5 equipos en desuso generadores</t>
  </si>
  <si>
    <t>Nota ponderada.</t>
  </si>
  <si>
    <t>Nota ponderada menos azules</t>
  </si>
  <si>
    <t>.</t>
  </si>
  <si>
    <t>..</t>
  </si>
  <si>
    <t>Juan Cubillo</t>
  </si>
  <si>
    <t>Predio_San_Lorenzo</t>
  </si>
  <si>
    <t>1.13 Aumentar servicio de almacenamiento y M&amp;R San Lorenzo</t>
  </si>
  <si>
    <t>2.11   Gasto administrativo San Lorenzo</t>
  </si>
  <si>
    <t>2.15    Aumentar margen de M&amp;R por contenedor San Lorenzo</t>
  </si>
  <si>
    <t>5.15  # de fallas operativas adjudicables al predio (Incluye rescates, rechazos) San Lorenzo</t>
  </si>
  <si>
    <t>2.16   Reducir costo máquinas (incluye mulita y containers handler) San Lorenzo</t>
  </si>
  <si>
    <t>6.2.2     Disminuir a 1% el desuso de los equipos San Lorenzo (equipos con mas de 30 dias en yarda)</t>
  </si>
  <si>
    <t>Nota podera.</t>
  </si>
  <si>
    <t>Nota quitando celestes.</t>
  </si>
  <si>
    <t>Abner Urbina</t>
  </si>
  <si>
    <t>Gasolinera</t>
  </si>
  <si>
    <t>1.7 Lograr ventas de gasolinera de galones</t>
  </si>
  <si>
    <t>1.11 Tienda de conveniencia (Primeros 4 meses 15k usd y 25k usd)</t>
  </si>
  <si>
    <t>2.19 Gasto administrativo gasolinera 3%/ventas</t>
  </si>
  <si>
    <t>2.21 Margen operativo de la gasolinera</t>
  </si>
  <si>
    <t>2.20 Margen operativo de tienda</t>
  </si>
  <si>
    <t>Jacky Mena</t>
  </si>
  <si>
    <t>Servicio_Al_Cliente</t>
  </si>
  <si>
    <t>3.9 On time delivery without sevice incidents</t>
  </si>
  <si>
    <t>5.12  Aumentar # de viajes de EXA</t>
  </si>
  <si>
    <t>5.1     Productividad kms/cabezal/mes.</t>
  </si>
  <si>
    <t>5.4     Productividad cabezales  IPH</t>
  </si>
  <si>
    <t xml:space="preserve">5.5.1     Productividad cabezales Tranexpa Particulares. </t>
  </si>
  <si>
    <t>5.5.2     Productividad cabezales Ponce</t>
  </si>
  <si>
    <t>5.5.4     Productividad cabezales Obregon</t>
  </si>
  <si>
    <t>5.5.3     Productividad cabezales Moreno</t>
  </si>
  <si>
    <t>5.5.5     Productividad cabezales San Lorenzo</t>
  </si>
  <si>
    <t>5.5.6     Productividad cabezales Sinai</t>
  </si>
  <si>
    <t>3.8  Aumentar satisfaccion al cliente</t>
  </si>
  <si>
    <t xml:space="preserve">   5.13 Aumenar promedio de kms/viaje</t>
  </si>
  <si>
    <t>5.8  Aumentar kms EXA</t>
  </si>
  <si>
    <t>Sinia Murillo</t>
  </si>
  <si>
    <t>Josseline Chavarria</t>
  </si>
  <si>
    <t>Edgardo Hernandez</t>
  </si>
  <si>
    <t>hola</t>
  </si>
  <si>
    <t>Fechas comparables</t>
  </si>
  <si>
    <t xml:space="preserve"> </t>
  </si>
  <si>
    <t>Inicio</t>
  </si>
  <si>
    <t>Fin</t>
  </si>
  <si>
    <t>31/01/2021</t>
  </si>
  <si>
    <t>Periodo inicial</t>
  </si>
  <si>
    <t>vs</t>
  </si>
  <si>
    <t>L=$</t>
  </si>
  <si>
    <t>Empresa</t>
  </si>
  <si>
    <t>Cuenta contable</t>
  </si>
  <si>
    <t>Fuente</t>
  </si>
  <si>
    <t>FÓRMULA</t>
  </si>
  <si>
    <t>Peso</t>
  </si>
  <si>
    <t>Descripción</t>
  </si>
  <si>
    <t>Unidad de medición</t>
  </si>
  <si>
    <t>Meta</t>
  </si>
  <si>
    <t>Resultado</t>
  </si>
  <si>
    <t>Valor ponderado</t>
  </si>
  <si>
    <t>(EXA, CONMOXA, AXA, TREXA, SAN JORGE)</t>
  </si>
  <si>
    <t>SAP</t>
  </si>
  <si>
    <t>SUMA DE LA CUENTA 41 DEL PERÍODO ACTUAL ENTRE LA SUMA DE LA CUENTA 41 DEL AÑO ANTERIO</t>
  </si>
  <si>
    <t>1. Aumentar ventas  en el año 2023 del Grupo EXA (EXA, CONMOXA, AXA, TREXA, SAN JORGE) en  10% en USD vs año 2022.</t>
  </si>
  <si>
    <t>Utillizar saldo en dólares</t>
  </si>
  <si>
    <t>Porcentaje</t>
  </si>
  <si>
    <t>SUMA DE LA CUENTA 410101 DEL PERÍODO ACTUAL ENTRE LA SUMA DE LA CUENTA 410101 DEL AÑO ANTERIO</t>
  </si>
  <si>
    <t>1. Aumentar ventas  en el año 2023 del Grupo EXA  las ventas de transporte en  10% en USD vs año 2022.</t>
  </si>
  <si>
    <t xml:space="preserve">ANÁLISIS DE VENTAS POR ARTÍCULO, </t>
  </si>
  <si>
    <t>PENDIENTE Anàlisis de venta de contenedores</t>
  </si>
  <si>
    <t>NANCY</t>
  </si>
  <si>
    <t xml:space="preserve">Vender 10 contenedores / mes en el  2023 en el Grupo EXA  </t>
  </si>
  <si>
    <t xml:space="preserve">SUMA DE LA CUENTA 410202 al final del mes </t>
  </si>
  <si>
    <t xml:space="preserve">Vender  $ 40,000 / mes por concepto de contenedores secos, reefer, nor, proyectos, el 2023 en el grupo EXA </t>
  </si>
  <si>
    <t>Dólares</t>
  </si>
  <si>
    <t>SALDO de la cuenta 410108002 al final de mes o período</t>
  </si>
  <si>
    <t>Vender $ 16,000 / mes por concepto de alquileres de contenedores reefer (solo o en combo)</t>
  </si>
  <si>
    <t>( AXA, SAN JORGE)</t>
  </si>
  <si>
    <t>sap</t>
  </si>
  <si>
    <t>SALDO DE LA CUENTA 410107001 AL FINAL DEL MES</t>
  </si>
  <si>
    <t>Aumentar ventas  por concepto de biens y raíces (EXA, CONMOXA, AXA, TREXA, SAN JORGE) en  20% en USD vs año 2022.</t>
  </si>
  <si>
    <t>SA -000046</t>
  </si>
  <si>
    <t>SUMA DE los ingresos  del artículo SA -000046 al final del mes</t>
  </si>
  <si>
    <t>Aumentar ventas  por concepto de alquiler de contenedores secos (EXA, CONMOXA, AXA, TREXA, SAN JORGE) en  20% en USD vs año 2022.</t>
  </si>
  <si>
    <t>Se consideró solo 2019</t>
  </si>
  <si>
    <t>CONMOXA</t>
  </si>
  <si>
    <t>ANÁLISIS DE ventas por artículo / grupo combustible / mes * revisar si se rebajan las notas de crédito</t>
  </si>
  <si>
    <t>Aumentar ventas  en el año 2023 de CONMOXA  en  5% en GALONES vs año 2022.</t>
  </si>
  <si>
    <t>%</t>
  </si>
  <si>
    <t>TREXA</t>
  </si>
  <si>
    <t>Aumentar ventas  en el año 2023 de TREXA  en  15% en DÓLARES vs año 2022.</t>
  </si>
  <si>
    <t>ARTÍCULOS SAP</t>
  </si>
  <si>
    <t>sUMA DE LA CANTIDAD DE EQUIPOS VENDIDOS,  DE LOS ARTÍCULOS GPS MC - 0000027,28,36,61 ** POSIBILIDAD DE AGREGAR OTRO ARTÍCULO</t>
  </si>
  <si>
    <t>Vender10 GPS a terceros / mes vs año 2022</t>
  </si>
  <si>
    <t>Unidad instaladas / mensuales</t>
  </si>
  <si>
    <t>INTERNATIONAL CONSULTING</t>
  </si>
  <si>
    <t>410201 International C.</t>
  </si>
  <si>
    <t xml:space="preserve">SUMA DE LAS CANTIDADES DE LOS ARTÍCULOS DEL GRUPO VENDIDOS EN EL MES </t>
  </si>
  <si>
    <t xml:space="preserve">Vender10 artículos de Sejue/get504 / mes vs año 2022 </t>
  </si>
  <si>
    <t>Articulos</t>
  </si>
  <si>
    <t>SUMA DE LOS INGRESOS DE LA CUENTA 41021001 AL FINAL DEL MES</t>
  </si>
  <si>
    <t>Aumentar ventas en 15% / mes por concepto de TIENDA DE CONVENIENCIA MEGA, el 2023 en CONMOXA en relación al 2022</t>
  </si>
  <si>
    <t>410102001 y 410103001</t>
  </si>
  <si>
    <t>SUMA DE LOS SALDOS DE LAS CUENTAS 410102001 Y 410103001 AL FINAL DEL MES VS AÑO ANTERIOR</t>
  </si>
  <si>
    <t>Aumentar renta de chasis y/o genset sin contenedor EN 20% DEL GRUPO EN USD VS AÑO 2022</t>
  </si>
  <si>
    <t>Chasis rentados</t>
  </si>
  <si>
    <t>(EXA, CONMOXA, TREXA)</t>
  </si>
  <si>
    <t>SUMA DE LOS INGRESOS DE LA CUENTA 4101105001 AL FINAL DE MES</t>
  </si>
  <si>
    <t>Aumentar 20% $ servicio de almacenamiento y M&amp;R San Lorenzo vs año 2022</t>
  </si>
  <si>
    <t>sin considerar enp</t>
  </si>
  <si>
    <t>DEPOT</t>
  </si>
  <si>
    <t># DE GATES DEPOT</t>
  </si>
  <si>
    <t>Aumentar 20% LOS GATE OUTS Puerto Cortés vs año 2022</t>
  </si>
  <si>
    <t>Gate</t>
  </si>
  <si>
    <t>Aumentar 20% $ servicio de almacenamiento y M&amp;R Puerto Cortés vs año 2022</t>
  </si>
  <si>
    <t xml:space="preserve">(EXA, CONMOXA, TREXA) </t>
  </si>
  <si>
    <t>Aumentar el numero de clientes en transporte semestralmente (1) (no cuenta clientes con ventas inferiores a $10,000.00 mensuales</t>
  </si>
  <si>
    <t>cliente</t>
  </si>
  <si>
    <t>ANÁLISIS DE ventas por artículo por propiedad</t>
  </si>
  <si>
    <t>Aumentar ventas en 25% / mes por concepto de Xcafé y YommyYommy, el 2023 en CONMOXA en relación al 202</t>
  </si>
  <si>
    <t>Aumentar ventas en Mega Part´s en 25% en $ vs año 2022</t>
  </si>
  <si>
    <t>utilidad periodo actual entre utilidad periodo año anterior menos 1</t>
  </si>
  <si>
    <t>2. Aumentar margen neto vrs año anterior</t>
  </si>
  <si>
    <t>61/41</t>
  </si>
  <si>
    <t>suma de total cta 61/41</t>
  </si>
  <si>
    <t>EXA, CONMOXA, TREXA</t>
  </si>
  <si>
    <t>SAP/EMS/DEPOT</t>
  </si>
  <si>
    <t>SE NECESITAN DOS CAMPOS UNO % PONDERACIÓN ALQUILADOS VS EN USO, OTRO CAMPO PARA AGREGAR CANTIDAD DE KILÓMETROS EL RESULTADO SERÁ CENTAVOS $ /KM (SUMA DE TODAS LAS EMPRESAS 510102*%CHASISENUSO/KMSDELMES)</t>
  </si>
  <si>
    <t>$/km</t>
  </si>
  <si>
    <t>510105005+510105006+510105007</t>
  </si>
  <si>
    <t>SE NECESITA UN CAMPO  PARA AGREGAR KILOMETROS POR MES EL RESULTADO SERÁ  CENTAVOS EN DÓLARES (SUMA DE TODAS LAS EMPRESAS 510105005+510105006+510105007/KMSDELMES)</t>
  </si>
  <si>
    <t>2.3     Reducir Costo por DE MYR  y otros POR km de cabezales propios.</t>
  </si>
  <si>
    <t>$</t>
  </si>
  <si>
    <t>ems</t>
  </si>
  <si>
    <t>2.4     Mantener Costo por km otras subdivisiones.</t>
  </si>
  <si>
    <t>Total de la cuenta 410202001+410202003 me nos costos por venta de contenedores modificadosa(510107001+510107003+510107006+510107009+5101070011+5101070012) año actual vs año anterior</t>
  </si>
  <si>
    <t xml:space="preserve">2.5     Aumentar Margen BRUTO en venta de contenedores (modificados y secos) </t>
  </si>
  <si>
    <t>ELIMINAR</t>
  </si>
  <si>
    <t>410108001-(510107004+510107007) mes año actual vs año anterior</t>
  </si>
  <si>
    <t>2.7     Aumento en 20% en margen de contribución bruta alquiler de secos</t>
  </si>
  <si>
    <t>410108002-(510107005+510107008) MES AÑO ACTUAL VS AÑO ANTERIOR VALOR DEBE SER DADO EN PORCENTAJE</t>
  </si>
  <si>
    <t>obtener dato del centro de costo por zona Puerto Cortés PCO-COR vs el año anterior</t>
  </si>
  <si>
    <t>No se puede generar por falta de centro de uso de centro de costo en 2019</t>
  </si>
  <si>
    <t>6101/41 MES ACTUAL</t>
  </si>
  <si>
    <t>2.10  Mantener el Gasto administrativo San Pedro Sula (APLICA GLOBAL)</t>
  </si>
  <si>
    <t>dolares</t>
  </si>
  <si>
    <t>No se puede generar por falta de centro de uso de centro de costo en 2020</t>
  </si>
  <si>
    <t>obtener dato del centro de costo por zona Puerto Cortés PCO-SLO vs el año anterior</t>
  </si>
  <si>
    <t>No se puede generar por falta de centro de uso de centro de costo en 2021</t>
  </si>
  <si>
    <t>CENTRO DE COSTOS DE GPS ENTRE CANTIDAD DE EQUIPOS QUE REPORTAN  AGREGAR UN CAMPO PARA PONER EL NUMERO DE EQUIPOS</t>
  </si>
  <si>
    <t>510104001 +510104002 +510104002  MES ACTUAL VS AÑO ANTERIOR PORCENTAJE</t>
  </si>
  <si>
    <t>$/contenedor</t>
  </si>
  <si>
    <t>510103 ENTRE LOS GATE IN CONTENEDORES VS AÑO ANTERIOR, DOS CAMPOS PARA AGREGAR LOS GATE IN AÑO ACTUAL Y AÑO ANTERIOR Y LUEGO DIVIDIR Y SACAR EL PORCENTAJE</t>
  </si>
  <si>
    <t>Se estan yendo a una sola cuenta</t>
  </si>
  <si>
    <t>TRANEXPA</t>
  </si>
  <si>
    <t>EMS</t>
  </si>
  <si>
    <t>510105  + Total deducciones ems entre el total de kilómetros del mes tranexpa, dos campos que se deben agregar divididos entre el valor del año anterior</t>
  </si>
  <si>
    <t>Total de la cuenta 510106002+510106003+510106004 entre la cantidad de gensets activos del mes año actual vs año anterior</t>
  </si>
  <si>
    <t>(6101-610108)+(8101+520101+ 510108+510110) dividido entre (410201+410203) mes actual año actual vs año anterior</t>
  </si>
  <si>
    <t>2.19 Margen neto gasolinera superior a 3% en relación a las ventas</t>
  </si>
  <si>
    <t>conmoxa</t>
  </si>
  <si>
    <t>410201-510108-(35%x510110004)-520101 mes año actual vs año de comparación</t>
  </si>
  <si>
    <t>exa</t>
  </si>
  <si>
    <t>Agregar campo para ponderación del porcentaje de los chasis 
Suma de la cuentas 410101 menos 510101*(porcentaje de ponderación  * 510102)-510103-510104-510105-510106-510108-6101-8101+610105004-5201 vs año anterior
 EXA</t>
  </si>
  <si>
    <t>trexa</t>
  </si>
  <si>
    <t>410108-5101-5201-6101-8101</t>
  </si>
  <si>
    <r>
      <t xml:space="preserve">3. Cero incidentes mayores de </t>
    </r>
    <r>
      <rPr>
        <b/>
        <u/>
        <sz val="10"/>
        <color theme="1"/>
        <rFont val="Arial"/>
        <family val="2"/>
      </rPr>
      <t>seguridad y sostenibilidad</t>
    </r>
  </si>
  <si>
    <t>&gt;0</t>
  </si>
  <si>
    <t xml:space="preserve">3.1     Robos. </t>
  </si>
  <si>
    <t>3.2     Accidentes.</t>
  </si>
  <si>
    <t>3.3     No conformidades mayores.</t>
  </si>
  <si>
    <t>3.4     Pérdida de clientes estratégicos,</t>
  </si>
  <si>
    <t># de cierres a tiempo</t>
  </si>
  <si>
    <t>Ninguna o Tranexpa</t>
  </si>
  <si>
    <t>General  o tranexpa o EXA</t>
  </si>
  <si>
    <t>General+ EXA</t>
  </si>
  <si>
    <t># general+ EXA + Tranexpa</t>
  </si>
  <si>
    <r>
      <t>5.2     Productividad cabezales</t>
    </r>
    <r>
      <rPr>
        <b/>
        <sz val="10"/>
        <color theme="1"/>
        <rFont val="Arial"/>
        <family val="2"/>
      </rPr>
      <t xml:space="preserve"> Flota Nueva</t>
    </r>
  </si>
  <si>
    <t xml:space="preserve">5.5     Productividad cabezales Particulares. </t>
  </si>
  <si>
    <t>4/6 transportes</t>
  </si>
  <si>
    <t xml:space="preserve">kms </t>
  </si>
  <si>
    <t>5.8.1 Aumentar kms clientes Jacky Mena (Rango110-90)</t>
  </si>
  <si>
    <t>5.8.2 Aumentar kms clientes Honoria Rodriguez  (Rango 110-90)</t>
  </si>
  <si>
    <t>kms/mes</t>
  </si>
  <si>
    <t>5.8.3 Aumentar kms clientes Sinia Murillo (Rango 110-90)</t>
  </si>
  <si>
    <t>5.8.4 Aumentar kms clientes Josselyn Chavarria (Rango 110-90)</t>
  </si>
  <si>
    <t>5.8.5  Aumentar kms clientes Edgardo Hernandez (Rango 150-115)</t>
  </si>
  <si>
    <t>5.9 Aumentar Total kms cabezales propios</t>
  </si>
  <si>
    <t># de fallas</t>
  </si>
  <si>
    <t># de viajes</t>
  </si>
  <si>
    <t>5.9.1 Aumentar numero de viajes Jacky</t>
  </si>
  <si>
    <t>5.9.2 Aumentar numero de viajes Honoria</t>
  </si>
  <si>
    <t>5.9.3  Aumentar numero de viajes Sinia</t>
  </si>
  <si>
    <t>5.9.4  Aumentar numero de viajes Josselyn</t>
  </si>
  <si>
    <t>5.9.5 Aumentar numero de viajes Edgardo</t>
  </si>
  <si>
    <t>kms/viaje</t>
  </si>
  <si>
    <t>5.14  90% de cabezales dentro de un +-10% del promedio de kms cabezal/mes</t>
  </si>
  <si>
    <t># notas de credito</t>
  </si>
  <si>
    <t>Utilidad neta del mes y periodo actual  entre  Total de activos vs el año anterior (cada año la cuenta de pérdidas y utilidades cambia)</t>
  </si>
  <si>
    <t>Equipos</t>
  </si>
  <si>
    <t>6. 3 Disminuir a 0-1 los cabezales TRANEXPA</t>
  </si>
  <si>
    <t>generadores</t>
  </si>
  <si>
    <t>1 en san lorenzo</t>
  </si>
  <si>
    <t>cabezal</t>
  </si>
  <si>
    <t>(21+22)/(31 + utilidad a la fech la fecha) mes actual y año actual vs año anterior</t>
  </si>
  <si>
    <t>8.1     Integracion EMS - Hapag-Lloyd</t>
  </si>
  <si>
    <t>8.2     Integracion EMS - GPS</t>
  </si>
  <si>
    <t>8.3     Integracion EMS - SAP</t>
  </si>
  <si>
    <t>8.4     Integracion EMS - Gasolinera</t>
  </si>
  <si>
    <t>8.5     Planilla de motorista</t>
  </si>
  <si>
    <t>8.6     Reset Module</t>
  </si>
  <si>
    <t>8.7     Add on SAP</t>
  </si>
  <si>
    <t>8.8     Multilanguage</t>
  </si>
  <si>
    <t>8.9     Multicompany</t>
  </si>
  <si>
    <t>8.10     Depot - EMS</t>
  </si>
  <si>
    <t>8.11     Multireport</t>
  </si>
  <si>
    <t>RESULTADO SCORECARD</t>
  </si>
  <si>
    <t>No</t>
  </si>
  <si>
    <t>Todas</t>
  </si>
  <si>
    <t>1. Aumentar ventas en:</t>
  </si>
  <si>
    <t xml:space="preserve">1.1 Aumentar ventas de transporte </t>
  </si>
  <si>
    <t>410108001 y 410108003</t>
  </si>
  <si>
    <t>Galones</t>
  </si>
  <si>
    <t>41 TREXA</t>
  </si>
  <si>
    <t>410102 y 410103</t>
  </si>
  <si>
    <t>1.12 Aumentar renta de chasis y/o genset sin contenedor 410102 + 410103</t>
  </si>
  <si>
    <t>1.15 Aumento de ventas EXA Part´s (Interno + externo)</t>
  </si>
  <si>
    <t xml:space="preserve">1.16  Aumentar servicio de almacenamiento y m&amp;r </t>
  </si>
  <si>
    <t>2. Aumentar margen neto</t>
  </si>
  <si>
    <t>2.4     Reducir Costo por km otros EXA.</t>
  </si>
  <si>
    <t>2.10  Mantener el Gasto administrativo San Pedro Sula</t>
  </si>
  <si>
    <t># Incidente</t>
  </si>
  <si>
    <t>SW Implementado</t>
  </si>
  <si>
    <t>1.2     Lograr meta de contenedores</t>
  </si>
  <si>
    <t>1.6 Alquileres de bodegas</t>
  </si>
  <si>
    <t>1.3  Lograr venta meta de ventas contenedores secos  y modificados(lps)</t>
  </si>
  <si>
    <t>1.4 Lograr meta de ventas en alquileres de contenedores reefer</t>
  </si>
  <si>
    <t>Interchange_PC</t>
  </si>
  <si>
    <t>Interchange_SL</t>
  </si>
  <si>
    <t>Taller_PC</t>
  </si>
  <si>
    <t>Taller_SL</t>
  </si>
  <si>
    <t>Jose Rivera</t>
  </si>
  <si>
    <t>Jose Borjas</t>
  </si>
  <si>
    <t>Alicia Castro</t>
  </si>
  <si>
    <t>Brayan Valdez</t>
  </si>
  <si>
    <t>Gelsy Pineda</t>
  </si>
  <si>
    <t>Paola Pineda</t>
  </si>
  <si>
    <t>Honoria Rodriguez</t>
  </si>
  <si>
    <t>Danahara Castillo</t>
  </si>
  <si>
    <t>Denis Mejia</t>
  </si>
  <si>
    <t>Miguel Oviedo</t>
  </si>
  <si>
    <t>Vilna Murcia</t>
  </si>
  <si>
    <t>Angie Licona</t>
  </si>
  <si>
    <t>Dennis Pereira</t>
  </si>
  <si>
    <t>Oscar Urbina</t>
  </si>
  <si>
    <t>Victor Escobar</t>
  </si>
  <si>
    <t>Jose Carballo</t>
  </si>
  <si>
    <t>Brenda Reyes</t>
  </si>
  <si>
    <t>Valeria Mena</t>
  </si>
  <si>
    <t>Oneida Reyes</t>
  </si>
  <si>
    <t>Bayron Sierra</t>
  </si>
  <si>
    <t>Oscar Castellanos</t>
  </si>
  <si>
    <t>Dairy Coello</t>
  </si>
  <si>
    <t>Kelvin Garcia</t>
  </si>
  <si>
    <t>Cristino Umanzaor</t>
  </si>
  <si>
    <t>Osman Zeron</t>
  </si>
  <si>
    <t>Doris Murillo</t>
  </si>
  <si>
    <t>Elder Perdomo</t>
  </si>
  <si>
    <t>Carlos Sanchez</t>
  </si>
  <si>
    <t>Cristian Gonzales</t>
  </si>
  <si>
    <t>Adrian Rivas</t>
  </si>
  <si>
    <t>Irma Bonilla</t>
  </si>
  <si>
    <t>Erika Sanchez</t>
  </si>
  <si>
    <t>Denis Rivera</t>
  </si>
  <si>
    <t>Jeimy Lopez</t>
  </si>
  <si>
    <t>Jairo Bueso</t>
  </si>
  <si>
    <t>Eduardo Muñoz</t>
  </si>
  <si>
    <t>Jose Bertrand</t>
  </si>
  <si>
    <t>Kimberly Orellana</t>
  </si>
  <si>
    <t>Fredy Ortiz</t>
  </si>
  <si>
    <t>Joselin Reyes</t>
  </si>
  <si>
    <t>Marvin Ortiz</t>
  </si>
  <si>
    <t>Marvin Mendez</t>
  </si>
  <si>
    <t>Kenia Reyes</t>
  </si>
  <si>
    <t>Abner Orellana</t>
  </si>
  <si>
    <t>Maria López</t>
  </si>
  <si>
    <t>Josue Castro</t>
  </si>
  <si>
    <t>Sandra Alvarenga</t>
  </si>
  <si>
    <t>Orlin Mejia</t>
  </si>
  <si>
    <t>Wendy Munguia</t>
  </si>
  <si>
    <t>Victor Maradiaga</t>
  </si>
  <si>
    <t>Gasolinera General</t>
  </si>
  <si>
    <t>Resultados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</si>
  <si>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</si>
  <si>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</si>
  <si>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</si>
  <si>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</si>
  <si>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</si>
  <si>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</si>
  <si>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</si>
  <si>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</si>
  <si>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</si>
  <si>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</si>
  <si>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</si>
  <si>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</si>
  <si>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SCORECARD</t>
  </si>
  <si>
    <t>ENERO</t>
  </si>
  <si>
    <t>RESULTADOS</t>
  </si>
  <si>
    <t>META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</si>
  <si>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</si>
  <si>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</si>
  <si>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</si>
  <si>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</si>
  <si>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</si>
  <si>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</si>
  <si>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</si>
  <si>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</si>
  <si>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</si>
  <si>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</si>
  <si>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</si>
  <si>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NOTA</t>
  </si>
  <si>
    <t>NOTAS PONDERADAS</t>
  </si>
  <si>
    <t xml:space="preserve">  </t>
  </si>
  <si>
    <t xml:space="preserve">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</si>
</sst>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$&quot;#,##0_);[Red]\(&quot;$&quot;#,##0\)"/>
    <numFmt numFmtId="165" formatCode="_(&quot;$&quot;* #,##0.00_);_(&quot;$&quot;* \(#,##0.00\);_(&quot;$&quot;* &quot;-&quot;??_);_(@_)"/>
    <numFmt numFmtId="166" formatCode="_ &quot;L.&quot;\ * #,##0.00_ ;_ &quot;L.&quot;\ * \-#,##0.00_ ;_ &quot;L.&quot;\ * &quot;-&quot;??_ ;_ @_ "/>
    <numFmt numFmtId="167" formatCode="0.0%"/>
    <numFmt numFmtId="168" formatCode="&quot;L.&quot;\ #,##0.00"/>
    <numFmt numFmtId="169" formatCode="_ [$L.-480A]\ * #,##0.00_ ;_ [$L.-480A]\ * \-#,##0.00_ ;_ [$L.-480A]\ * &quot;-&quot;??_ ;_ @_ "/>
    <numFmt numFmtId="170" formatCode="[$USD]\ #,##0.00"/>
    <numFmt numFmtId="171" formatCode="0.0"/>
    <numFmt numFmtId="172" formatCode="_([$$-409]* #,##0.00_);_([$$-409]* \(#,##0.00\);_([$$-409]* &quot;-&quot;??_);_(@_)"/>
    <numFmt numFmtId="173" formatCode="&quot;$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6"/>
      <name val="Calibri"/>
      <family val="2"/>
      <scheme val="minor"/>
    </font>
    <font>
      <b/>
      <u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444444"/>
      <name val="Calibri"/>
      <family val="2"/>
      <charset val="1"/>
    </font>
    <font>
      <sz val="10"/>
      <color rgb="FFFFFFFF"/>
      <name val="Arial"/>
      <family val="2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45">
    <xf numFmtId="0" fontId="0" fillId="0" borderId="0" xfId="0"/>
    <xf numFmtId="9" fontId="0" fillId="0" borderId="0" xfId="0" applyNumberFormat="1"/>
    <xf numFmtId="0" fontId="0" fillId="0" borderId="0" xfId="0" applyAlignment="1">
      <alignment horizontal="left" vertical="center"/>
    </xf>
    <xf numFmtId="9" fontId="0" fillId="0" borderId="1" xfId="0" applyNumberFormat="1" applyBorder="1"/>
    <xf numFmtId="9" fontId="0" fillId="0" borderId="1" xfId="1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9" fontId="3" fillId="0" borderId="0" xfId="0" applyNumberFormat="1" applyFont="1"/>
    <xf numFmtId="10" fontId="3" fillId="0" borderId="0" xfId="0" applyNumberFormat="1" applyFont="1"/>
    <xf numFmtId="9" fontId="3" fillId="0" borderId="0" xfId="0" applyNumberFormat="1" applyFont="1" applyAlignment="1">
      <alignment horizontal="center"/>
    </xf>
    <xf numFmtId="167" fontId="3" fillId="0" borderId="0" xfId="1" applyNumberFormat="1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1" xfId="0" applyBorder="1" applyAlignment="1">
      <alignment horizontal="left" vertical="center"/>
    </xf>
    <xf numFmtId="0" fontId="3" fillId="0" borderId="1" xfId="0" applyFont="1" applyBorder="1"/>
    <xf numFmtId="9" fontId="3" fillId="0" borderId="1" xfId="0" applyNumberFormat="1" applyFont="1" applyBorder="1"/>
    <xf numFmtId="10" fontId="3" fillId="0" borderId="1" xfId="0" applyNumberFormat="1" applyFont="1" applyBorder="1"/>
    <xf numFmtId="9" fontId="3" fillId="0" borderId="1" xfId="0" applyNumberFormat="1" applyFont="1" applyBorder="1" applyAlignment="1">
      <alignment horizontal="center"/>
    </xf>
    <xf numFmtId="167" fontId="3" fillId="0" borderId="1" xfId="1" applyNumberFormat="1" applyFont="1" applyBorder="1"/>
    <xf numFmtId="0" fontId="3" fillId="2" borderId="1" xfId="0" applyFont="1" applyFill="1" applyBorder="1"/>
    <xf numFmtId="167" fontId="3" fillId="3" borderId="1" xfId="1" applyNumberFormat="1" applyFont="1" applyFill="1" applyBorder="1"/>
    <xf numFmtId="9" fontId="3" fillId="0" borderId="1" xfId="0" quotePrefix="1" applyNumberFormat="1" applyFont="1" applyBorder="1"/>
    <xf numFmtId="167" fontId="3" fillId="3" borderId="0" xfId="0" applyNumberFormat="1" applyFont="1" applyFill="1"/>
    <xf numFmtId="0" fontId="3" fillId="4" borderId="1" xfId="0" applyFont="1" applyFill="1" applyBorder="1"/>
    <xf numFmtId="2" fontId="3" fillId="0" borderId="1" xfId="0" applyNumberFormat="1" applyFont="1" applyBorder="1"/>
    <xf numFmtId="2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/>
    <xf numFmtId="166" fontId="3" fillId="0" borderId="1" xfId="0" applyNumberFormat="1" applyFont="1" applyBorder="1" applyAlignment="1">
      <alignment horizontal="center"/>
    </xf>
    <xf numFmtId="2" fontId="3" fillId="0" borderId="1" xfId="1" applyNumberFormat="1" applyFont="1" applyBorder="1"/>
    <xf numFmtId="0" fontId="5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2" fontId="0" fillId="0" borderId="1" xfId="1" applyNumberFormat="1" applyFont="1" applyBorder="1"/>
    <xf numFmtId="169" fontId="0" fillId="0" borderId="1" xfId="1" applyNumberFormat="1" applyFont="1" applyBorder="1"/>
    <xf numFmtId="9" fontId="0" fillId="3" borderId="1" xfId="1" applyFont="1" applyFill="1" applyBorder="1"/>
    <xf numFmtId="0" fontId="5" fillId="2" borderId="0" xfId="0" applyFont="1" applyFill="1" applyAlignment="1">
      <alignment horizontal="center" vertical="center"/>
    </xf>
    <xf numFmtId="167" fontId="3" fillId="0" borderId="0" xfId="0" applyNumberFormat="1" applyFon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5" borderId="0" xfId="0" applyFill="1"/>
    <xf numFmtId="0" fontId="0" fillId="6" borderId="0" xfId="0" applyFill="1"/>
    <xf numFmtId="0" fontId="6" fillId="0" borderId="1" xfId="0" applyFont="1" applyBorder="1"/>
    <xf numFmtId="0" fontId="6" fillId="0" borderId="3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9" fontId="6" fillId="0" borderId="1" xfId="0" applyNumberFormat="1" applyFont="1" applyBorder="1"/>
    <xf numFmtId="0" fontId="6" fillId="0" borderId="0" xfId="0" applyFont="1"/>
    <xf numFmtId="167" fontId="3" fillId="0" borderId="4" xfId="1" applyNumberFormat="1" applyFont="1" applyBorder="1"/>
    <xf numFmtId="0" fontId="3" fillId="0" borderId="1" xfId="0" applyFont="1" applyBorder="1" applyAlignment="1">
      <alignment horizontal="left"/>
    </xf>
    <xf numFmtId="167" fontId="3" fillId="0" borderId="1" xfId="0" applyNumberFormat="1" applyFont="1" applyBorder="1"/>
    <xf numFmtId="167" fontId="3" fillId="3" borderId="1" xfId="0" applyNumberFormat="1" applyFont="1" applyFill="1" applyBorder="1"/>
    <xf numFmtId="10" fontId="0" fillId="0" borderId="0" xfId="0" applyNumberFormat="1"/>
    <xf numFmtId="9" fontId="0" fillId="2" borderId="1" xfId="1" applyFont="1" applyFill="1" applyBorder="1"/>
    <xf numFmtId="9" fontId="0" fillId="5" borderId="1" xfId="1" applyFont="1" applyFill="1" applyBorder="1"/>
    <xf numFmtId="1" fontId="0" fillId="0" borderId="1" xfId="1" applyNumberFormat="1" applyFont="1" applyBorder="1"/>
    <xf numFmtId="9" fontId="7" fillId="6" borderId="1" xfId="1" applyFont="1" applyFill="1" applyBorder="1"/>
    <xf numFmtId="9" fontId="3" fillId="0" borderId="1" xfId="1" applyFont="1" applyBorder="1"/>
    <xf numFmtId="0" fontId="3" fillId="0" borderId="3" xfId="0" applyFont="1" applyBorder="1" applyAlignment="1">
      <alignment horizontal="left" indent="1"/>
    </xf>
    <xf numFmtId="1" fontId="3" fillId="0" borderId="1" xfId="1" applyNumberFormat="1" applyFont="1" applyBorder="1"/>
    <xf numFmtId="0" fontId="3" fillId="2" borderId="3" xfId="0" applyFont="1" applyFill="1" applyBorder="1" applyAlignment="1">
      <alignment horizontal="left" indent="1"/>
    </xf>
    <xf numFmtId="10" fontId="3" fillId="2" borderId="1" xfId="0" applyNumberFormat="1" applyFont="1" applyFill="1" applyBorder="1"/>
    <xf numFmtId="167" fontId="4" fillId="2" borderId="1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7" fontId="3" fillId="2" borderId="1" xfId="1" applyNumberFormat="1" applyFont="1" applyFill="1" applyBorder="1"/>
    <xf numFmtId="0" fontId="3" fillId="2" borderId="0" xfId="0" applyFont="1" applyFill="1"/>
    <xf numFmtId="9" fontId="3" fillId="2" borderId="1" xfId="0" applyNumberFormat="1" applyFont="1" applyFill="1" applyBorder="1"/>
    <xf numFmtId="0" fontId="3" fillId="0" borderId="3" xfId="0" applyFont="1" applyBorder="1" applyAlignment="1">
      <alignment horizontal="left" indent="2"/>
    </xf>
    <xf numFmtId="9" fontId="3" fillId="2" borderId="1" xfId="1" applyFont="1" applyFill="1" applyBorder="1"/>
    <xf numFmtId="2" fontId="3" fillId="2" borderId="1" xfId="0" applyNumberFormat="1" applyFont="1" applyFill="1" applyBorder="1"/>
    <xf numFmtId="0" fontId="3" fillId="2" borderId="3" xfId="0" applyFont="1" applyFill="1" applyBorder="1" applyAlignment="1">
      <alignment horizontal="left"/>
    </xf>
    <xf numFmtId="0" fontId="3" fillId="7" borderId="1" xfId="0" applyFont="1" applyFill="1" applyBorder="1"/>
    <xf numFmtId="10" fontId="3" fillId="7" borderId="1" xfId="0" applyNumberFormat="1" applyFont="1" applyFill="1" applyBorder="1"/>
    <xf numFmtId="0" fontId="3" fillId="7" borderId="3" xfId="0" applyFont="1" applyFill="1" applyBorder="1" applyAlignment="1">
      <alignment horizontal="left" indent="1"/>
    </xf>
    <xf numFmtId="9" fontId="3" fillId="7" borderId="1" xfId="0" applyNumberFormat="1" applyFont="1" applyFill="1" applyBorder="1"/>
    <xf numFmtId="9" fontId="3" fillId="7" borderId="1" xfId="0" applyNumberFormat="1" applyFont="1" applyFill="1" applyBorder="1" applyAlignment="1">
      <alignment horizontal="center"/>
    </xf>
    <xf numFmtId="167" fontId="3" fillId="7" borderId="1" xfId="1" applyNumberFormat="1" applyFont="1" applyFill="1" applyBorder="1"/>
    <xf numFmtId="0" fontId="3" fillId="7" borderId="0" xfId="0" applyFont="1" applyFill="1"/>
    <xf numFmtId="0" fontId="3" fillId="7" borderId="1" xfId="0" applyFont="1" applyFill="1" applyBorder="1" applyAlignment="1">
      <alignment horizontal="left"/>
    </xf>
    <xf numFmtId="9" fontId="0" fillId="5" borderId="1" xfId="0" applyNumberFormat="1" applyFill="1" applyBorder="1"/>
    <xf numFmtId="0" fontId="0" fillId="5" borderId="1" xfId="0" applyFill="1" applyBorder="1" applyAlignment="1">
      <alignment horizontal="left" vertical="center"/>
    </xf>
    <xf numFmtId="2" fontId="0" fillId="5" borderId="1" xfId="1" applyNumberFormat="1" applyFont="1" applyFill="1" applyBorder="1"/>
    <xf numFmtId="0" fontId="5" fillId="5" borderId="0" xfId="0" applyFont="1" applyFill="1" applyAlignment="1">
      <alignment horizontal="center" vertical="center"/>
    </xf>
    <xf numFmtId="9" fontId="0" fillId="5" borderId="0" xfId="0" applyNumberFormat="1" applyFill="1"/>
    <xf numFmtId="0" fontId="3" fillId="5" borderId="1" xfId="0" applyFont="1" applyFill="1" applyBorder="1"/>
    <xf numFmtId="10" fontId="3" fillId="5" borderId="1" xfId="0" applyNumberFormat="1" applyFont="1" applyFill="1" applyBorder="1"/>
    <xf numFmtId="9" fontId="3" fillId="5" borderId="1" xfId="0" applyNumberFormat="1" applyFont="1" applyFill="1" applyBorder="1" applyAlignment="1">
      <alignment horizontal="center"/>
    </xf>
    <xf numFmtId="167" fontId="3" fillId="5" borderId="1" xfId="1" applyNumberFormat="1" applyFont="1" applyFill="1" applyBorder="1"/>
    <xf numFmtId="0" fontId="3" fillId="5" borderId="0" xfId="0" applyFont="1" applyFill="1"/>
    <xf numFmtId="0" fontId="5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indent="1"/>
    </xf>
    <xf numFmtId="2" fontId="3" fillId="5" borderId="1" xfId="0" applyNumberFormat="1" applyFont="1" applyFill="1" applyBorder="1"/>
    <xf numFmtId="2" fontId="0" fillId="0" borderId="1" xfId="1" applyNumberFormat="1" applyFont="1" applyFill="1" applyBorder="1"/>
    <xf numFmtId="9" fontId="0" fillId="0" borderId="1" xfId="1" applyFont="1" applyFill="1" applyBorder="1"/>
    <xf numFmtId="0" fontId="5" fillId="0" borderId="0" xfId="0" applyFont="1" applyAlignment="1">
      <alignment horizontal="center" vertical="center"/>
    </xf>
    <xf numFmtId="0" fontId="2" fillId="0" borderId="0" xfId="0" applyFont="1"/>
    <xf numFmtId="0" fontId="0" fillId="0" borderId="2" xfId="0" applyBorder="1" applyAlignment="1">
      <alignment horizontal="left" vertical="center"/>
    </xf>
    <xf numFmtId="0" fontId="3" fillId="8" borderId="1" xfId="0" applyFont="1" applyFill="1" applyBorder="1"/>
    <xf numFmtId="10" fontId="3" fillId="8" borderId="1" xfId="0" applyNumberFormat="1" applyFont="1" applyFill="1" applyBorder="1"/>
    <xf numFmtId="0" fontId="3" fillId="8" borderId="3" xfId="0" applyFont="1" applyFill="1" applyBorder="1" applyAlignment="1">
      <alignment horizontal="left"/>
    </xf>
    <xf numFmtId="2" fontId="3" fillId="8" borderId="1" xfId="0" applyNumberFormat="1" applyFont="1" applyFill="1" applyBorder="1"/>
    <xf numFmtId="9" fontId="3" fillId="8" borderId="1" xfId="0" applyNumberFormat="1" applyFont="1" applyFill="1" applyBorder="1" applyAlignment="1">
      <alignment horizontal="center"/>
    </xf>
    <xf numFmtId="167" fontId="3" fillId="8" borderId="1" xfId="1" applyNumberFormat="1" applyFont="1" applyFill="1" applyBorder="1"/>
    <xf numFmtId="0" fontId="3" fillId="8" borderId="0" xfId="0" applyFont="1" applyFill="1"/>
    <xf numFmtId="167" fontId="0" fillId="0" borderId="1" xfId="1" applyNumberFormat="1" applyFont="1" applyFill="1" applyBorder="1"/>
    <xf numFmtId="1" fontId="0" fillId="0" borderId="1" xfId="1" applyNumberFormat="1" applyFont="1" applyFill="1" applyBorder="1"/>
    <xf numFmtId="9" fontId="3" fillId="3" borderId="1" xfId="0" applyNumberFormat="1" applyFont="1" applyFill="1" applyBorder="1" applyAlignment="1">
      <alignment horizontal="center"/>
    </xf>
    <xf numFmtId="0" fontId="3" fillId="9" borderId="1" xfId="0" applyFont="1" applyFill="1" applyBorder="1"/>
    <xf numFmtId="10" fontId="3" fillId="9" borderId="1" xfId="0" applyNumberFormat="1" applyFont="1" applyFill="1" applyBorder="1"/>
    <xf numFmtId="0" fontId="3" fillId="9" borderId="3" xfId="0" applyFont="1" applyFill="1" applyBorder="1" applyAlignment="1">
      <alignment horizontal="left"/>
    </xf>
    <xf numFmtId="9" fontId="3" fillId="9" borderId="1" xfId="0" applyNumberFormat="1" applyFont="1" applyFill="1" applyBorder="1"/>
    <xf numFmtId="9" fontId="3" fillId="9" borderId="1" xfId="0" applyNumberFormat="1" applyFont="1" applyFill="1" applyBorder="1" applyAlignment="1">
      <alignment horizontal="center"/>
    </xf>
    <xf numFmtId="167" fontId="3" fillId="9" borderId="1" xfId="1" applyNumberFormat="1" applyFont="1" applyFill="1" applyBorder="1"/>
    <xf numFmtId="0" fontId="3" fillId="9" borderId="0" xfId="0" applyFont="1" applyFill="1"/>
    <xf numFmtId="0" fontId="3" fillId="9" borderId="3" xfId="0" applyFont="1" applyFill="1" applyBorder="1" applyAlignment="1">
      <alignment horizontal="left" indent="1"/>
    </xf>
    <xf numFmtId="2" fontId="3" fillId="9" borderId="1" xfId="0" applyNumberFormat="1" applyFont="1" applyFill="1" applyBorder="1"/>
    <xf numFmtId="170" fontId="3" fillId="9" borderId="1" xfId="0" applyNumberFormat="1" applyFont="1" applyFill="1" applyBorder="1"/>
    <xf numFmtId="9" fontId="3" fillId="9" borderId="1" xfId="1" applyFont="1" applyFill="1" applyBorder="1"/>
    <xf numFmtId="165" fontId="0" fillId="0" borderId="1" xfId="2" applyFont="1" applyBorder="1"/>
    <xf numFmtId="0" fontId="3" fillId="3" borderId="1" xfId="0" applyFont="1" applyFill="1" applyBorder="1"/>
    <xf numFmtId="10" fontId="3" fillId="3" borderId="1" xfId="0" applyNumberFormat="1" applyFont="1" applyFill="1" applyBorder="1"/>
    <xf numFmtId="0" fontId="3" fillId="3" borderId="3" xfId="0" applyFont="1" applyFill="1" applyBorder="1" applyAlignment="1">
      <alignment horizontal="left" indent="1"/>
    </xf>
    <xf numFmtId="9" fontId="3" fillId="3" borderId="1" xfId="0" applyNumberFormat="1" applyFont="1" applyFill="1" applyBorder="1"/>
    <xf numFmtId="0" fontId="3" fillId="3" borderId="0" xfId="0" applyFont="1" applyFill="1"/>
    <xf numFmtId="171" fontId="3" fillId="3" borderId="3" xfId="0" applyNumberFormat="1" applyFont="1" applyFill="1" applyBorder="1" applyAlignment="1">
      <alignment horizontal="left" indent="1"/>
    </xf>
    <xf numFmtId="171" fontId="3" fillId="9" borderId="3" xfId="0" applyNumberFormat="1" applyFont="1" applyFill="1" applyBorder="1" applyAlignment="1">
      <alignment horizontal="left" indent="1"/>
    </xf>
    <xf numFmtId="173" fontId="0" fillId="0" borderId="1" xfId="1" applyNumberFormat="1" applyFont="1" applyBorder="1"/>
    <xf numFmtId="0" fontId="0" fillId="4" borderId="0" xfId="0" applyFill="1"/>
    <xf numFmtId="9" fontId="0" fillId="4" borderId="1" xfId="0" applyNumberFormat="1" applyFill="1" applyBorder="1"/>
    <xf numFmtId="0" fontId="0" fillId="4" borderId="1" xfId="0" applyFill="1" applyBorder="1" applyAlignment="1">
      <alignment horizontal="left" vertical="center"/>
    </xf>
    <xf numFmtId="2" fontId="0" fillId="4" borderId="1" xfId="1" applyNumberFormat="1" applyFont="1" applyFill="1" applyBorder="1"/>
    <xf numFmtId="9" fontId="0" fillId="4" borderId="1" xfId="1" applyFont="1" applyFill="1" applyBorder="1"/>
    <xf numFmtId="0" fontId="5" fillId="4" borderId="0" xfId="0" applyFont="1" applyFill="1" applyAlignment="1">
      <alignment horizontal="center" vertical="center"/>
    </xf>
    <xf numFmtId="9" fontId="0" fillId="4" borderId="0" xfId="0" applyNumberFormat="1" applyFill="1"/>
    <xf numFmtId="0" fontId="0" fillId="10" borderId="0" xfId="0" applyFill="1"/>
    <xf numFmtId="9" fontId="0" fillId="10" borderId="1" xfId="0" applyNumberFormat="1" applyFill="1" applyBorder="1"/>
    <xf numFmtId="0" fontId="0" fillId="10" borderId="1" xfId="0" applyFill="1" applyBorder="1" applyAlignment="1">
      <alignment horizontal="left" vertical="center"/>
    </xf>
    <xf numFmtId="2" fontId="0" fillId="10" borderId="1" xfId="1" applyNumberFormat="1" applyFont="1" applyFill="1" applyBorder="1"/>
    <xf numFmtId="9" fontId="0" fillId="10" borderId="1" xfId="1" applyFont="1" applyFill="1" applyBorder="1"/>
    <xf numFmtId="0" fontId="5" fillId="10" borderId="0" xfId="0" applyFont="1" applyFill="1" applyAlignment="1">
      <alignment horizontal="center" vertical="center"/>
    </xf>
    <xf numFmtId="9" fontId="0" fillId="10" borderId="0" xfId="0" applyNumberFormat="1" applyFill="1"/>
    <xf numFmtId="9" fontId="0" fillId="0" borderId="5" xfId="1" applyFont="1" applyFill="1" applyBorder="1"/>
    <xf numFmtId="9" fontId="0" fillId="3" borderId="5" xfId="1" applyFont="1" applyFill="1" applyBorder="1"/>
    <xf numFmtId="10" fontId="3" fillId="4" borderId="1" xfId="0" applyNumberFormat="1" applyFont="1" applyFill="1" applyBorder="1"/>
    <xf numFmtId="0" fontId="3" fillId="4" borderId="3" xfId="0" applyFont="1" applyFill="1" applyBorder="1" applyAlignment="1">
      <alignment horizontal="left" indent="1"/>
    </xf>
    <xf numFmtId="9" fontId="3" fillId="4" borderId="1" xfId="0" applyNumberFormat="1" applyFont="1" applyFill="1" applyBorder="1"/>
    <xf numFmtId="9" fontId="3" fillId="4" borderId="1" xfId="0" applyNumberFormat="1" applyFont="1" applyFill="1" applyBorder="1" applyAlignment="1">
      <alignment horizontal="center"/>
    </xf>
    <xf numFmtId="167" fontId="3" fillId="4" borderId="1" xfId="1" applyNumberFormat="1" applyFont="1" applyFill="1" applyBorder="1"/>
    <xf numFmtId="0" fontId="3" fillId="4" borderId="0" xfId="0" applyFont="1" applyFill="1"/>
    <xf numFmtId="2" fontId="3" fillId="4" borderId="1" xfId="0" applyNumberFormat="1" applyFont="1" applyFill="1" applyBorder="1"/>
    <xf numFmtId="2" fontId="3" fillId="4" borderId="1" xfId="0" applyNumberFormat="1" applyFont="1" applyFill="1" applyBorder="1" applyAlignment="1">
      <alignment horizontal="center"/>
    </xf>
    <xf numFmtId="170" fontId="3" fillId="4" borderId="1" xfId="0" applyNumberFormat="1" applyFont="1" applyFill="1" applyBorder="1"/>
    <xf numFmtId="9" fontId="3" fillId="4" borderId="1" xfId="1" applyFont="1" applyFill="1" applyBorder="1"/>
    <xf numFmtId="165" fontId="3" fillId="4" borderId="1" xfId="2" applyFont="1" applyFill="1" applyBorder="1" applyAlignment="1">
      <alignment horizontal="center"/>
    </xf>
    <xf numFmtId="0" fontId="3" fillId="4" borderId="3" xfId="0" applyFont="1" applyFill="1" applyBorder="1" applyAlignment="1">
      <alignment horizontal="left"/>
    </xf>
    <xf numFmtId="9" fontId="3" fillId="4" borderId="1" xfId="0" quotePrefix="1" applyNumberFormat="1" applyFont="1" applyFill="1" applyBorder="1"/>
    <xf numFmtId="172" fontId="3" fillId="4" borderId="1" xfId="0" applyNumberFormat="1" applyFont="1" applyFill="1" applyBorder="1"/>
    <xf numFmtId="165" fontId="3" fillId="4" borderId="1" xfId="2" applyFont="1" applyFill="1" applyBorder="1"/>
    <xf numFmtId="2" fontId="3" fillId="4" borderId="3" xfId="0" applyNumberFormat="1" applyFont="1" applyFill="1" applyBorder="1" applyAlignment="1">
      <alignment horizontal="left" indent="1"/>
    </xf>
    <xf numFmtId="164" fontId="3" fillId="4" borderId="1" xfId="0" applyNumberFormat="1" applyFont="1" applyFill="1" applyBorder="1"/>
    <xf numFmtId="171" fontId="3" fillId="4" borderId="3" xfId="0" applyNumberFormat="1" applyFont="1" applyFill="1" applyBorder="1" applyAlignment="1">
      <alignment horizontal="left" indent="1"/>
    </xf>
    <xf numFmtId="1" fontId="3" fillId="4" borderId="1" xfId="0" applyNumberFormat="1" applyFont="1" applyFill="1" applyBorder="1"/>
    <xf numFmtId="0" fontId="3" fillId="6" borderId="1" xfId="0" applyFont="1" applyFill="1" applyBorder="1"/>
    <xf numFmtId="10" fontId="3" fillId="6" borderId="1" xfId="0" applyNumberFormat="1" applyFont="1" applyFill="1" applyBorder="1"/>
    <xf numFmtId="0" fontId="3" fillId="6" borderId="3" xfId="0" applyFont="1" applyFill="1" applyBorder="1" applyAlignment="1">
      <alignment horizontal="left"/>
    </xf>
    <xf numFmtId="9" fontId="3" fillId="6" borderId="1" xfId="0" applyNumberFormat="1" applyFont="1" applyFill="1" applyBorder="1"/>
    <xf numFmtId="9" fontId="3" fillId="6" borderId="1" xfId="0" applyNumberFormat="1" applyFont="1" applyFill="1" applyBorder="1" applyAlignment="1">
      <alignment horizontal="center"/>
    </xf>
    <xf numFmtId="167" fontId="3" fillId="6" borderId="1" xfId="1" applyNumberFormat="1" applyFont="1" applyFill="1" applyBorder="1"/>
    <xf numFmtId="0" fontId="3" fillId="6" borderId="0" xfId="0" applyFont="1" applyFill="1"/>
    <xf numFmtId="2" fontId="3" fillId="4" borderId="1" xfId="1" applyNumberFormat="1" applyFont="1" applyFill="1" applyBorder="1"/>
    <xf numFmtId="0" fontId="3" fillId="4" borderId="1" xfId="0" applyFont="1" applyFill="1" applyBorder="1" applyAlignment="1">
      <alignment horizontal="left"/>
    </xf>
    <xf numFmtId="0" fontId="3" fillId="4" borderId="1" xfId="1" applyNumberFormat="1" applyFont="1" applyFill="1" applyBorder="1"/>
    <xf numFmtId="0" fontId="6" fillId="4" borderId="1" xfId="0" applyFont="1" applyFill="1" applyBorder="1" applyAlignment="1">
      <alignment horizontal="center"/>
    </xf>
    <xf numFmtId="9" fontId="6" fillId="4" borderId="1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left" indent="2"/>
    </xf>
    <xf numFmtId="0" fontId="3" fillId="4" borderId="1" xfId="0" applyFont="1" applyFill="1" applyBorder="1" applyAlignment="1">
      <alignment horizontal="center"/>
    </xf>
    <xf numFmtId="10" fontId="3" fillId="0" borderId="1" xfId="0" applyNumberFormat="1" applyFont="1" applyBorder="1" applyAlignment="1">
      <alignment horizontal="left"/>
    </xf>
    <xf numFmtId="9" fontId="3" fillId="0" borderId="1" xfId="0" applyNumberFormat="1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9" fontId="3" fillId="0" borderId="3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9" fontId="3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4" xfId="0" applyFont="1" applyBorder="1"/>
    <xf numFmtId="2" fontId="3" fillId="0" borderId="11" xfId="1" applyNumberFormat="1" applyFont="1" applyFill="1" applyBorder="1" applyAlignment="1">
      <alignment horizontal="center"/>
    </xf>
    <xf numFmtId="0" fontId="3" fillId="10" borderId="1" xfId="0" applyFont="1" applyFill="1" applyBorder="1"/>
    <xf numFmtId="10" fontId="3" fillId="10" borderId="1" xfId="0" applyNumberFormat="1" applyFont="1" applyFill="1" applyBorder="1"/>
    <xf numFmtId="0" fontId="3" fillId="10" borderId="3" xfId="0" applyFont="1" applyFill="1" applyBorder="1" applyAlignment="1">
      <alignment horizontal="left"/>
    </xf>
    <xf numFmtId="0" fontId="3" fillId="10" borderId="3" xfId="0" applyFont="1" applyFill="1" applyBorder="1" applyAlignment="1">
      <alignment horizontal="left" indent="1"/>
    </xf>
    <xf numFmtId="14" fontId="3" fillId="0" borderId="0" xfId="0" applyNumberFormat="1" applyFont="1"/>
    <xf numFmtId="0" fontId="11" fillId="0" borderId="0" xfId="0" applyFont="1"/>
    <xf numFmtId="0" fontId="11" fillId="6" borderId="0" xfId="0" applyFont="1" applyFill="1"/>
    <xf numFmtId="0" fontId="3" fillId="6" borderId="3" xfId="0" applyFont="1" applyFill="1" applyBorder="1" applyAlignment="1">
      <alignment horizontal="left" indent="1"/>
    </xf>
    <xf numFmtId="0" fontId="11" fillId="11" borderId="0" xfId="0" applyFont="1" applyFill="1"/>
    <xf numFmtId="0" fontId="3" fillId="11" borderId="1" xfId="0" applyFont="1" applyFill="1" applyBorder="1"/>
    <xf numFmtId="10" fontId="3" fillId="11" borderId="1" xfId="0" applyNumberFormat="1" applyFont="1" applyFill="1" applyBorder="1"/>
    <xf numFmtId="0" fontId="3" fillId="11" borderId="3" xfId="0" applyFont="1" applyFill="1" applyBorder="1" applyAlignment="1">
      <alignment horizontal="left"/>
    </xf>
    <xf numFmtId="0" fontId="3" fillId="11" borderId="3" xfId="0" applyFont="1" applyFill="1" applyBorder="1" applyAlignment="1">
      <alignment horizontal="left" indent="1"/>
    </xf>
    <xf numFmtId="2" fontId="3" fillId="11" borderId="1" xfId="0" applyNumberFormat="1" applyFont="1" applyFill="1" applyBorder="1"/>
    <xf numFmtId="2" fontId="3" fillId="11" borderId="1" xfId="0" applyNumberFormat="1" applyFont="1" applyFill="1" applyBorder="1" applyAlignment="1">
      <alignment horizontal="center"/>
    </xf>
    <xf numFmtId="9" fontId="3" fillId="11" borderId="1" xfId="0" applyNumberFormat="1" applyFont="1" applyFill="1" applyBorder="1" applyAlignment="1">
      <alignment horizontal="center"/>
    </xf>
    <xf numFmtId="167" fontId="3" fillId="11" borderId="1" xfId="1" applyNumberFormat="1" applyFont="1" applyFill="1" applyBorder="1"/>
    <xf numFmtId="0" fontId="3" fillId="11" borderId="0" xfId="0" applyFont="1" applyFill="1"/>
    <xf numFmtId="170" fontId="3" fillId="6" borderId="1" xfId="0" applyNumberFormat="1" applyFont="1" applyFill="1" applyBorder="1"/>
    <xf numFmtId="9" fontId="3" fillId="6" borderId="1" xfId="1" applyFont="1" applyFill="1" applyBorder="1"/>
    <xf numFmtId="2" fontId="3" fillId="6" borderId="1" xfId="0" applyNumberFormat="1" applyFont="1" applyFill="1" applyBorder="1"/>
    <xf numFmtId="2" fontId="3" fillId="6" borderId="1" xfId="0" applyNumberFormat="1" applyFont="1" applyFill="1" applyBorder="1" applyAlignment="1">
      <alignment horizontal="center"/>
    </xf>
    <xf numFmtId="165" fontId="3" fillId="6" borderId="1" xfId="2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3" fillId="12" borderId="0" xfId="0" applyFont="1" applyFill="1"/>
    <xf numFmtId="0" fontId="3" fillId="12" borderId="1" xfId="0" applyFont="1" applyFill="1" applyBorder="1"/>
    <xf numFmtId="0" fontId="3" fillId="12" borderId="3" xfId="0" applyFont="1" applyFill="1" applyBorder="1" applyAlignment="1">
      <alignment horizontal="left" indent="1"/>
    </xf>
    <xf numFmtId="2" fontId="3" fillId="12" borderId="1" xfId="0" applyNumberFormat="1" applyFont="1" applyFill="1" applyBorder="1"/>
    <xf numFmtId="9" fontId="3" fillId="12" borderId="1" xfId="0" applyNumberFormat="1" applyFont="1" applyFill="1" applyBorder="1" applyAlignment="1">
      <alignment horizontal="center"/>
    </xf>
    <xf numFmtId="167" fontId="3" fillId="12" borderId="1" xfId="1" applyNumberFormat="1" applyFont="1" applyFill="1" applyBorder="1"/>
    <xf numFmtId="0" fontId="3" fillId="13" borderId="0" xfId="0" applyFont="1" applyFill="1"/>
    <xf numFmtId="0" fontId="3" fillId="13" borderId="1" xfId="0" applyFont="1" applyFill="1" applyBorder="1"/>
    <xf numFmtId="10" fontId="3" fillId="13" borderId="1" xfId="0" applyNumberFormat="1" applyFont="1" applyFill="1" applyBorder="1"/>
    <xf numFmtId="0" fontId="3" fillId="13" borderId="3" xfId="0" applyFont="1" applyFill="1" applyBorder="1" applyAlignment="1">
      <alignment horizontal="left" indent="1"/>
    </xf>
    <xf numFmtId="172" fontId="3" fillId="13" borderId="1" xfId="0" applyNumberFormat="1" applyFont="1" applyFill="1" applyBorder="1"/>
    <xf numFmtId="165" fontId="3" fillId="13" borderId="1" xfId="2" applyFont="1" applyFill="1" applyBorder="1"/>
    <xf numFmtId="9" fontId="3" fillId="13" borderId="1" xfId="0" applyNumberFormat="1" applyFont="1" applyFill="1" applyBorder="1" applyAlignment="1">
      <alignment horizontal="center"/>
    </xf>
    <xf numFmtId="167" fontId="3" fillId="13" borderId="1" xfId="1" applyNumberFormat="1" applyFont="1" applyFill="1" applyBorder="1"/>
    <xf numFmtId="173" fontId="3" fillId="13" borderId="1" xfId="0" applyNumberFormat="1" applyFont="1" applyFill="1" applyBorder="1"/>
    <xf numFmtId="0" fontId="12" fillId="14" borderId="0" xfId="0" applyFont="1" applyFill="1"/>
    <xf numFmtId="0" fontId="12" fillId="14" borderId="1" xfId="0" applyFont="1" applyFill="1" applyBorder="1"/>
    <xf numFmtId="10" fontId="12" fillId="14" borderId="1" xfId="0" applyNumberFormat="1" applyFont="1" applyFill="1" applyBorder="1"/>
    <xf numFmtId="0" fontId="12" fillId="14" borderId="3" xfId="0" applyFont="1" applyFill="1" applyBorder="1" applyAlignment="1">
      <alignment horizontal="left" indent="1"/>
    </xf>
    <xf numFmtId="9" fontId="12" fillId="14" borderId="1" xfId="0" applyNumberFormat="1" applyFont="1" applyFill="1" applyBorder="1"/>
    <xf numFmtId="9" fontId="12" fillId="14" borderId="1" xfId="0" applyNumberFormat="1" applyFont="1" applyFill="1" applyBorder="1" applyAlignment="1">
      <alignment horizontal="center"/>
    </xf>
    <xf numFmtId="167" fontId="12" fillId="14" borderId="1" xfId="1" applyNumberFormat="1" applyFont="1" applyFill="1" applyBorder="1"/>
    <xf numFmtId="0" fontId="3" fillId="10" borderId="0" xfId="0" applyFont="1" applyFill="1"/>
    <xf numFmtId="171" fontId="3" fillId="10" borderId="3" xfId="0" applyNumberFormat="1" applyFont="1" applyFill="1" applyBorder="1" applyAlignment="1">
      <alignment horizontal="left" indent="1"/>
    </xf>
    <xf numFmtId="9" fontId="3" fillId="10" borderId="1" xfId="0" applyNumberFormat="1" applyFont="1" applyFill="1" applyBorder="1"/>
    <xf numFmtId="9" fontId="3" fillId="10" borderId="1" xfId="0" applyNumberFormat="1" applyFont="1" applyFill="1" applyBorder="1" applyAlignment="1">
      <alignment horizontal="center"/>
    </xf>
    <xf numFmtId="167" fontId="3" fillId="10" borderId="1" xfId="1" applyNumberFormat="1" applyFont="1" applyFill="1" applyBorder="1"/>
    <xf numFmtId="0" fontId="3" fillId="10" borderId="1" xfId="0" applyFont="1" applyFill="1" applyBorder="1" applyAlignment="1">
      <alignment wrapText="1"/>
    </xf>
    <xf numFmtId="167" fontId="3" fillId="0" borderId="1" xfId="1" applyNumberFormat="1" applyFont="1" applyFill="1" applyBorder="1"/>
    <xf numFmtId="2" fontId="3" fillId="0" borderId="1" xfId="1" applyNumberFormat="1" applyFont="1" applyFill="1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center"/>
    </xf>
  </cellXfs>
  <cellStyles count="3">
    <cellStyle name="Moneda" xfId="2" builtinId="4"/>
    <cellStyle name="Normal" xfId="0" builtinId="0"/>
    <cellStyle name="Porcentaje" xfId="1" builtinId="5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3:F11" totalsRowShown="0" headerRowDxfId="8" headerRowBorderDxfId="7" tableBorderDxfId="6" totalsRowBorderDxfId="5">
  <tableColumns count="5">
    <tableColumn id="1" xr3:uid="{00000000-0010-0000-0000-000001000000}" name="No" dataDxfId="4"/>
    <tableColumn id="2" xr3:uid="{00000000-0010-0000-0000-000002000000}" name="Peso" dataDxfId="3"/>
    <tableColumn id="3" xr3:uid="{00000000-0010-0000-0000-000003000000}" name="Descripción" dataDxfId="2"/>
    <tableColumn id="4" xr3:uid="{00000000-0010-0000-0000-000004000000}" name="Unidad de medición" dataDxfId="1"/>
    <tableColumn id="5" xr3:uid="{00000000-0010-0000-0000-000005000000}" name="Met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showGridLines="0" zoomScaleNormal="100" workbookViewId="0">
      <selection activeCell="F31" sqref="F31"/>
    </sheetView>
  </sheetViews>
  <sheetFormatPr baseColWidth="10" defaultColWidth="11.42578125" defaultRowHeight="15" x14ac:dyDescent="0.25"/>
  <cols>
    <col min="3" max="3" width="77.42578125" customWidth="1"/>
    <col min="4" max="4" width="19.5703125" customWidth="1"/>
    <col min="5" max="5" width="13.85546875" bestFit="1" customWidth="1"/>
    <col min="6" max="6" width="12.85546875" bestFit="1" customWidth="1"/>
    <col min="7" max="7" width="11.42578125" customWidth="1"/>
    <col min="8" max="8" width="19.140625" customWidth="1"/>
    <col min="9" max="9" width="13.7109375" bestFit="1" customWidth="1"/>
  </cols>
  <sheetData>
    <row r="1" spans="1:21" x14ac:dyDescent="0.25">
      <c r="I1" s="38">
        <v>0.9</v>
      </c>
      <c r="J1" s="41"/>
    </row>
    <row r="2" spans="1:21" x14ac:dyDescent="0.25">
      <c r="C2" s="14" t="s">
        <v>0</v>
      </c>
      <c r="D2" s="243"/>
      <c r="E2" s="243"/>
      <c r="F2" s="243"/>
      <c r="I2" s="39" t="s">
        <v>1</v>
      </c>
      <c r="J2" s="42"/>
    </row>
    <row r="3" spans="1:21" x14ac:dyDescent="0.25">
      <c r="C3" s="7" t="s">
        <v>2</v>
      </c>
      <c r="D3" s="244" t="s">
        <v>3</v>
      </c>
      <c r="E3" s="244"/>
      <c r="F3" s="244"/>
      <c r="I3" s="39" t="s">
        <v>4</v>
      </c>
      <c r="J3" s="40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x14ac:dyDescent="0.25">
      <c r="A6">
        <f>+Mensual!B6</f>
        <v>4</v>
      </c>
      <c r="B6" s="3">
        <v>0.3</v>
      </c>
      <c r="C6" s="15" t="s">
        <v>6</v>
      </c>
      <c r="D6" s="33">
        <f>IF(VLOOKUP($C6,Mensual!$D$6:$G$163,2,0)&lt;0,0,VLOOKUP($C6,Mensual!$D$6:$G$163,2,0))</f>
        <v>0</v>
      </c>
      <c r="E6" s="33">
        <f>IF(VLOOKUP($C6,Mensual!$D$6:$G$163,3,0)&lt;0,0,VLOOKUP($C6,Mensual!$D$6:$G$163,3,0))</f>
        <v>15</v>
      </c>
      <c r="F6" s="33">
        <f>IF(VLOOKUP($C6,Mensual!$D$6:$G$163,4,0)&lt;0,0,VLOOKUP($C6,Mensual!$D$6:$G$163,4,0))</f>
        <v>1</v>
      </c>
      <c r="G6" s="4">
        <f>IF(VLOOKUP($C6,Mensual!$D$6:$H$163,5,0)&lt;0,0,VLOOKUP($C6,Mensual!$D$6:$H$163,5,0))</f>
        <v>6.6666666666666666E-2</v>
      </c>
      <c r="H6" s="4">
        <f>+G6*B6</f>
        <v>0.02</v>
      </c>
      <c r="I6" s="31">
        <f>+Mensual!J6</f>
        <v>0</v>
      </c>
      <c r="J6" s="31">
        <f>+Mensual!K6</f>
        <v>0</v>
      </c>
      <c r="K6" s="31">
        <f>+Mensual!L6</f>
        <v>0</v>
      </c>
      <c r="L6" s="31">
        <f>+Mensual!M6</f>
        <v>0</v>
      </c>
      <c r="M6" s="3"/>
      <c r="N6" s="3"/>
      <c r="O6" s="3"/>
      <c r="P6" s="3"/>
      <c r="Q6" s="3"/>
      <c r="R6" s="3"/>
      <c r="S6" s="3"/>
    </row>
    <row r="7" spans="1:21" x14ac:dyDescent="0.25">
      <c r="B7" s="3">
        <v>0.1</v>
      </c>
      <c r="C7" s="15" t="s">
        <v>7</v>
      </c>
      <c r="D7" s="33" t="str">
        <f>IF(VLOOKUP($C7,Mensual!$D$6:$G$163,2,0)&lt;0,0,VLOOKUP($C7,Mensual!$D$6:$G$163,2,0))</f>
        <v>RESULTADO SCORECARD</v>
      </c>
      <c r="E7" s="4">
        <f>IF(VLOOKUP($C7,Mensual!$D$6:$G$163,3,0)&lt;0,0,VLOOKUP($C7,Mensual!$D$6:$G$163,3,0))</f>
        <v>1</v>
      </c>
      <c r="F7" s="4">
        <f>IF(VLOOKUP($C7,Mensual!$D$6:$G$163,4,0)&lt;0,0,VLOOKUP($C7,Mensual!$D$6:$G$163,4,0))</f>
        <v>1.0325000000000002</v>
      </c>
      <c r="G7" s="4">
        <f>IF(VLOOKUP($C7,Mensual!$D$6:$H$163,5,0)&lt;0,0,VLOOKUP($C7,Mensual!$D$6:$H$163,5,0))</f>
        <v>1.0325000000000002</v>
      </c>
      <c r="H7" s="4">
        <f t="shared" ref="H7:H15" si="0">+G7*B7</f>
        <v>0.10325000000000002</v>
      </c>
      <c r="I7" s="36"/>
      <c r="J7" s="36"/>
      <c r="K7" s="36"/>
      <c r="L7" s="36"/>
      <c r="M7" s="1"/>
      <c r="N7" s="1"/>
      <c r="O7" s="1"/>
      <c r="P7" s="1"/>
      <c r="Q7" s="1"/>
      <c r="R7" s="1"/>
      <c r="S7" s="1"/>
    </row>
    <row r="8" spans="1:21" x14ac:dyDescent="0.25">
      <c r="B8" s="3">
        <v>0.05</v>
      </c>
      <c r="C8" s="15" t="s">
        <v>8</v>
      </c>
      <c r="D8" s="33" t="str">
        <f>IF(VLOOKUP($C8,Mensual!$D$6:$G$163,2,0)&lt;0,0,VLOOKUP($C8,Mensual!$D$6:$G$163,2,0))</f>
        <v>Porcentaje</v>
      </c>
      <c r="E8" s="4">
        <f>IF(VLOOKUP($C8,Mensual!$D$6:$G$163,3,0)&lt;0,0,VLOOKUP($C8,Mensual!$D$6:$G$163,3,0))</f>
        <v>0.2</v>
      </c>
      <c r="F8" s="4">
        <f>IF(VLOOKUP($C8,Mensual!$D$6:$G$163,4,0)&lt;0,0,VLOOKUP($C8,Mensual!$D$6:$G$163,4,0))</f>
        <v>0.45</v>
      </c>
      <c r="G8" s="4">
        <f>IF(VLOOKUP($C8,Mensual!$D$6:$H$163,5,0)&lt;0,0,VLOOKUP($C8,Mensual!$D$6:$H$163,5,0))</f>
        <v>1</v>
      </c>
      <c r="H8" s="4">
        <f t="shared" ref="H8:H12" si="1">+G8*B8</f>
        <v>0.05</v>
      </c>
      <c r="I8" s="36"/>
      <c r="J8" s="36"/>
      <c r="K8" s="36"/>
      <c r="L8" s="36"/>
      <c r="M8" s="1"/>
      <c r="N8" s="1"/>
      <c r="O8" s="1"/>
      <c r="P8" s="1"/>
      <c r="Q8" s="1"/>
      <c r="R8" s="1"/>
      <c r="S8" s="1"/>
    </row>
    <row r="9" spans="1:21" x14ac:dyDescent="0.25">
      <c r="B9" s="3">
        <v>0.05</v>
      </c>
      <c r="C9" s="15" t="s">
        <v>9</v>
      </c>
      <c r="D9" s="33" t="str">
        <f>IF(VLOOKUP($C9,Mensual!$D$6:$G$163,2,0)&lt;0,0,VLOOKUP($C9,Mensual!$D$6:$G$163,2,0))</f>
        <v>Dólares</v>
      </c>
      <c r="E9" s="126">
        <f>IF(VLOOKUP($C9,Mensual!$D$6:$G$163,3,0)&lt;0,0,VLOOKUP($C9,Mensual!$D$6:$G$163,3,0))</f>
        <v>16000</v>
      </c>
      <c r="F9" s="126">
        <f>IF(VLOOKUP($C9,Mensual!$D$6:$G$163,4,0)&lt;0,0,VLOOKUP($C9,Mensual!$D$6:$G$163,4,0))</f>
        <v>0</v>
      </c>
      <c r="G9" s="4">
        <f>IF(VLOOKUP($C9,Mensual!$D$6:$H$163,5,0)&lt;0,0,VLOOKUP($C9,Mensual!$D$6:$H$163,5,0))</f>
        <v>0</v>
      </c>
      <c r="H9" s="4">
        <f t="shared" si="1"/>
        <v>0</v>
      </c>
      <c r="I9" s="36"/>
      <c r="J9" s="36"/>
      <c r="K9" s="36"/>
      <c r="L9" s="36"/>
      <c r="M9" s="1"/>
      <c r="N9" s="1"/>
      <c r="O9" s="1"/>
      <c r="P9" s="1"/>
      <c r="Q9" s="1"/>
      <c r="R9" s="1"/>
      <c r="S9" s="1"/>
    </row>
    <row r="10" spans="1:21" x14ac:dyDescent="0.25">
      <c r="B10" s="3">
        <v>0.05</v>
      </c>
      <c r="C10" s="15" t="s">
        <v>10</v>
      </c>
      <c r="D10" s="33" t="str">
        <f>IF(VLOOKUP($C10,Mensual!$D$6:$G$163,2,0)&lt;0,0,VLOOKUP($C10,Mensual!$D$6:$G$163,2,0))</f>
        <v>Dólares</v>
      </c>
      <c r="E10" s="126">
        <f>IF(VLOOKUP($C10,Mensual!$D$6:$G$163,3,0)&lt;0,0,VLOOKUP($C10,Mensual!$D$6:$G$163,3,0))</f>
        <v>40000</v>
      </c>
      <c r="F10" s="126">
        <f>IF(VLOOKUP($C10,Mensual!$D$6:$G$163,4,0)&lt;0,0,VLOOKUP($C10,Mensual!$D$6:$G$163,4,0))</f>
        <v>1800</v>
      </c>
      <c r="G10" s="4">
        <f>IF(VLOOKUP($C10,Mensual!$D$6:$H$163,5,0)&lt;0,0,VLOOKUP($C10,Mensual!$D$6:$H$163,5,0))</f>
        <v>4.4999999999999998E-2</v>
      </c>
      <c r="H10" s="4">
        <f t="shared" si="1"/>
        <v>2.2499999999999998E-3</v>
      </c>
      <c r="I10" s="36"/>
      <c r="J10" s="36"/>
      <c r="K10" s="36"/>
      <c r="L10" s="36"/>
      <c r="M10" s="1"/>
      <c r="N10" s="1"/>
      <c r="O10" s="1"/>
      <c r="P10" s="1"/>
      <c r="Q10" s="1"/>
      <c r="R10" s="1"/>
      <c r="S10" s="1"/>
    </row>
    <row r="11" spans="1:21" x14ac:dyDescent="0.25">
      <c r="B11" s="3">
        <v>0.05</v>
      </c>
      <c r="C11" s="15" t="s">
        <v>11</v>
      </c>
      <c r="D11" s="33" t="str">
        <f>IF(VLOOKUP($C11,Mensual!$D$6:$G$163,2,0)&lt;0,0,VLOOKUP($C11,Mensual!$D$6:$G$163,2,0))</f>
        <v>%</v>
      </c>
      <c r="E11" s="4">
        <f>IF(VLOOKUP($C11,Mensual!$D$6:$G$163,3,0)&lt;0,0,VLOOKUP($C11,Mensual!$D$6:$G$163,3,0))</f>
        <v>0.1</v>
      </c>
      <c r="F11" s="4">
        <f>IF(VLOOKUP($C11,Mensual!$D$6:$G$163,4,0)&lt;0,0,VLOOKUP($C11,Mensual!$D$6:$G$163,4,0))</f>
        <v>0</v>
      </c>
      <c r="G11" s="4">
        <f>IF(VLOOKUP($C11,Mensual!$D$6:$H$163,5,0)&lt;0,0,VLOOKUP($C11,Mensual!$D$6:$H$163,5,0))</f>
        <v>0</v>
      </c>
      <c r="H11" s="4">
        <f t="shared" si="1"/>
        <v>0</v>
      </c>
      <c r="I11" s="36"/>
      <c r="J11" s="36"/>
      <c r="K11" s="36"/>
      <c r="L11" s="36"/>
      <c r="M11" s="1"/>
      <c r="N11" s="1"/>
      <c r="O11" s="1"/>
      <c r="P11" s="1"/>
      <c r="Q11" s="1"/>
      <c r="R11" s="1"/>
      <c r="S11" s="1"/>
    </row>
    <row r="12" spans="1:21" x14ac:dyDescent="0.25">
      <c r="B12" s="3">
        <v>0.05</v>
      </c>
      <c r="C12" s="15" t="s">
        <v>12</v>
      </c>
      <c r="D12" s="33" t="str">
        <f>IF(VLOOKUP($C12,Mensual!$D$6:$G$163,2,0)&lt;0,0,VLOOKUP($C12,Mensual!$D$6:$G$163,2,0))</f>
        <v>$</v>
      </c>
      <c r="E12" s="4">
        <f>IF(VLOOKUP($C12,Mensual!$D$6:$G$163,3,0)&lt;0,0,VLOOKUP($C12,Mensual!$D$6:$G$163,3,0))</f>
        <v>0.2</v>
      </c>
      <c r="F12" s="4">
        <f>IF(VLOOKUP($C12,Mensual!$D$6:$G$163,4,0)&lt;0,0,VLOOKUP($C12,Mensual!$D$6:$G$163,4,0))</f>
        <v>0</v>
      </c>
      <c r="G12" s="4">
        <f>IF(VLOOKUP($C12,Mensual!$D$6:$H$163,5,0)&lt;0,0,VLOOKUP($C12,Mensual!$D$6:$H$163,5,0))</f>
        <v>0</v>
      </c>
      <c r="H12" s="4">
        <f t="shared" si="1"/>
        <v>0</v>
      </c>
      <c r="I12" s="36"/>
      <c r="J12" s="36"/>
      <c r="K12" s="36"/>
      <c r="L12" s="36"/>
      <c r="M12" s="1"/>
      <c r="N12" s="1"/>
      <c r="O12" s="1"/>
      <c r="P12" s="1"/>
      <c r="Q12" s="1"/>
      <c r="R12" s="1"/>
      <c r="S12" s="1"/>
    </row>
    <row r="13" spans="1:21" x14ac:dyDescent="0.25">
      <c r="B13" s="3">
        <v>0.25</v>
      </c>
      <c r="C13" s="15" t="s">
        <v>13</v>
      </c>
      <c r="D13" s="33" t="str">
        <f>IF(VLOOKUP($C13,Mensual!$D$6:$G$163,2,0)&lt;0,0,VLOOKUP($C13,Mensual!$D$6:$G$163,2,0))</f>
        <v>Articulos</v>
      </c>
      <c r="E13" s="33">
        <f>IF(VLOOKUP($C13,Mensual!$D$6:$G$163,3,0)&lt;0,0,VLOOKUP($C13,Mensual!$D$6:$G$163,3,0))</f>
        <v>10</v>
      </c>
      <c r="F13" s="33">
        <f>IF(VLOOKUP($C13,Mensual!$D$6:$G$163,4,0)&lt;0,0,VLOOKUP($C13,Mensual!$D$6:$G$163,4,0))</f>
        <v>19</v>
      </c>
      <c r="G13" s="4">
        <f>IF(VLOOKUP($C13,Mensual!$D$6:$H$163,5,0)&lt;0,0,VLOOKUP($C13,Mensual!$D$6:$H$163,5,0))</f>
        <v>1</v>
      </c>
      <c r="H13" s="4">
        <f t="shared" si="0"/>
        <v>0.25</v>
      </c>
      <c r="I13" s="36"/>
      <c r="J13" s="36"/>
      <c r="K13" s="36"/>
      <c r="L13" s="36"/>
      <c r="M13" s="1"/>
      <c r="N13" s="1"/>
      <c r="O13" s="1"/>
      <c r="P13" s="1"/>
      <c r="Q13" s="1"/>
      <c r="R13" s="1"/>
      <c r="S13" s="1"/>
    </row>
    <row r="14" spans="1:21" x14ac:dyDescent="0.25">
      <c r="B14" s="3">
        <v>0.05</v>
      </c>
      <c r="C14" s="15" t="s">
        <v>14</v>
      </c>
      <c r="D14" s="33" t="str">
        <f>IF(VLOOKUP($C14,Mensual!$D$6:$G$163,2,0)&lt;0,0,VLOOKUP($C14,Mensual!$D$6:$G$163,2,0))</f>
        <v>$</v>
      </c>
      <c r="E14" s="33">
        <f>IF(VLOOKUP($C14,Mensual!$D$6:$G$163,3,0)&lt;0,0,VLOOKUP($C14,Mensual!$D$6:$G$163,3,0))</f>
        <v>0.2</v>
      </c>
      <c r="F14" s="33">
        <f>IF(VLOOKUP($C14,Mensual!$D$6:$G$163,4,0)&lt;0,0,VLOOKUP($C14,Mensual!$D$6:$G$163,4,0))</f>
        <v>0</v>
      </c>
      <c r="G14" s="4">
        <f>IF(VLOOKUP($C14,Mensual!$D$6:$H$163,5,0)&lt;0,0,VLOOKUP($C14,Mensual!$D$6:$H$163,5,0))</f>
        <v>0</v>
      </c>
      <c r="H14" s="4">
        <f t="shared" ref="H14" si="2">+G14*B14</f>
        <v>0</v>
      </c>
      <c r="I14" s="36"/>
      <c r="J14" s="36"/>
      <c r="K14" s="36"/>
      <c r="L14" s="36"/>
      <c r="M14" s="1"/>
      <c r="N14" s="1"/>
      <c r="O14" s="1"/>
      <c r="P14" s="1"/>
      <c r="Q14" s="1"/>
      <c r="R14" s="1"/>
      <c r="S14" s="1"/>
    </row>
    <row r="15" spans="1:21" x14ac:dyDescent="0.25">
      <c r="B15" s="3">
        <v>0.05</v>
      </c>
      <c r="C15" s="15" t="s">
        <v>15</v>
      </c>
      <c r="D15" s="33" t="str">
        <f>IF(VLOOKUP($C15,Mensual!$D$6:$G$163,2,0)&lt;0,0,VLOOKUP($C15,Mensual!$D$6:$G$163,2,0))</f>
        <v>$</v>
      </c>
      <c r="E15" s="4">
        <f>IF(VLOOKUP($C15,Mensual!$D$6:$G$163,3,0)&lt;0,0,VLOOKUP($C15,Mensual!$D$6:$G$163,3,0))</f>
        <v>0.2</v>
      </c>
      <c r="F15" s="34">
        <f>IF(VLOOKUP($C15,Mensual!$D$6:$G$163,4,0)&lt;0,0,VLOOKUP($C15,Mensual!$D$6:$G$163,4,0))</f>
        <v>0</v>
      </c>
      <c r="G15" s="4">
        <f>IF(VLOOKUP($C15,Mensual!$D$6:$H$163,5,0)&lt;0,0,VLOOKUP($C15,Mensual!$D$6:$H$163,5,0))</f>
        <v>0</v>
      </c>
      <c r="H15" s="4">
        <f t="shared" si="0"/>
        <v>0</v>
      </c>
      <c r="I15" s="36"/>
      <c r="J15" s="36"/>
      <c r="K15" s="36"/>
      <c r="L15" s="36"/>
      <c r="M15" s="1"/>
      <c r="N15" s="1"/>
      <c r="O15" s="1"/>
      <c r="P15" s="1"/>
      <c r="Q15" s="1"/>
      <c r="R15" s="1"/>
      <c r="S15" s="1"/>
    </row>
    <row r="16" spans="1:21" x14ac:dyDescent="0.25">
      <c r="B16" s="1">
        <f>SUM(B6:B15)</f>
        <v>1.0000000000000002</v>
      </c>
      <c r="C16" s="2"/>
      <c r="D16" s="1"/>
      <c r="E16" s="1"/>
      <c r="F16" s="1"/>
      <c r="G16" s="1"/>
      <c r="H16" s="35">
        <f>SUM(H6:H15)</f>
        <v>0.42549999999999999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3:3" x14ac:dyDescent="0.25">
      <c r="C17" s="2"/>
    </row>
  </sheetData>
  <mergeCells count="2">
    <mergeCell ref="D2:F2"/>
    <mergeCell ref="D3:F3"/>
  </mergeCells>
  <dataValidations count="1">
    <dataValidation type="list" allowBlank="1" showInputMessage="1" showErrorMessage="1" sqref="D2:F2" xr:uid="{00000000-0002-0000-0000-000000000000}">
      <formula1>INDIRECT(D3)</formula1>
    </dataValidation>
  </dataValidation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Listados!$A$1:$L$1</xm:f>
          </x14:formula1>
          <xm:sqref>D3:F3</xm:sqref>
        </x14:dataValidation>
        <x14:dataValidation type="list" allowBlank="1" showInputMessage="1" showErrorMessage="1" xr:uid="{00000000-0002-0000-0000-000002000000}">
          <x14:formula1>
            <xm:f>Acumulado!$C$3:$C$131</xm:f>
          </x14:formula1>
          <xm:sqref>C7:C15</xm:sqref>
        </x14:dataValidation>
        <x14:dataValidation type="list" allowBlank="1" showInputMessage="1" showErrorMessage="1" xr:uid="{00000000-0002-0000-0000-000003000000}">
          <x14:formula1>
            <xm:f>Acumulado!$C$3:$C$661</xm:f>
          </x14:formula1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U23"/>
  <sheetViews>
    <sheetView showGridLines="0" zoomScale="85" zoomScaleNormal="85" workbookViewId="0">
      <selection activeCell="E10" sqref="E10"/>
    </sheetView>
  </sheetViews>
  <sheetFormatPr baseColWidth="10" defaultColWidth="11.42578125" defaultRowHeight="15" x14ac:dyDescent="0.25"/>
  <cols>
    <col min="3" max="3" width="70.42578125" customWidth="1"/>
    <col min="4" max="4" width="19.5703125" customWidth="1"/>
    <col min="5" max="5" width="13.85546875" bestFit="1" customWidth="1"/>
    <col min="6" max="6" width="12.85546875" bestFit="1" customWidth="1"/>
    <col min="7" max="7" width="11.42578125" customWidth="1"/>
    <col min="8" max="8" width="19.140625" customWidth="1"/>
    <col min="9" max="9" width="13.7109375" bestFit="1" customWidth="1"/>
  </cols>
  <sheetData>
    <row r="1" spans="1:21" x14ac:dyDescent="0.25">
      <c r="I1" s="38">
        <v>0.9</v>
      </c>
      <c r="J1" s="41"/>
    </row>
    <row r="2" spans="1:21" x14ac:dyDescent="0.25">
      <c r="C2" s="7" t="s">
        <v>2</v>
      </c>
      <c r="D2" s="244" t="s">
        <v>16</v>
      </c>
      <c r="E2" s="244"/>
      <c r="F2" s="244"/>
      <c r="I2" s="39" t="s">
        <v>1</v>
      </c>
      <c r="J2" s="42"/>
    </row>
    <row r="3" spans="1:21" x14ac:dyDescent="0.25">
      <c r="C3" s="14" t="s">
        <v>0</v>
      </c>
      <c r="D3" s="243" t="s">
        <v>17</v>
      </c>
      <c r="E3" s="243"/>
      <c r="F3" s="243"/>
      <c r="I3" s="39" t="s">
        <v>4</v>
      </c>
      <c r="J3" s="40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x14ac:dyDescent="0.25">
      <c r="A6">
        <f>+Mensual!B6</f>
        <v>4</v>
      </c>
      <c r="B6" s="3">
        <v>0.38</v>
      </c>
      <c r="C6" s="15" t="s">
        <v>7</v>
      </c>
      <c r="D6" s="33" t="str">
        <f>IF(VLOOKUP($C6,Mensual!$D$6:$G$163,2,0)&lt;0,0,VLOOKUP($C6,Mensual!$D$6:$G$163,2,0))</f>
        <v>RESULTADO SCORECARD</v>
      </c>
      <c r="E6" s="4">
        <f>IF(VLOOKUP($C6,Mensual!$D$6:$G$163,3,0)&lt;0,0,VLOOKUP($C6,Mensual!$D$6:$G$163,3,0))</f>
        <v>1</v>
      </c>
      <c r="F6" s="4">
        <f>IF(VLOOKUP($C6,Mensual!$D$6:$G$163,4,0)&lt;0,0,VLOOKUP($C6,Mensual!$D$6:$G$163,4,0))</f>
        <v>1.0325000000000002</v>
      </c>
      <c r="G6" s="4">
        <f>IF(VLOOKUP($C6,Mensual!$D$6:$H$163,5,0)&lt;0,0,VLOOKUP($C6,Mensual!$D$6:$H$163,5,0))</f>
        <v>1.0325000000000002</v>
      </c>
      <c r="H6" s="4">
        <f>+G6*B6</f>
        <v>0.39235000000000009</v>
      </c>
      <c r="I6" s="31">
        <f>+Mensual!J6</f>
        <v>0</v>
      </c>
      <c r="J6" s="31">
        <f>+Mensual!K6</f>
        <v>0</v>
      </c>
      <c r="K6" s="31">
        <f>+Mensual!L6</f>
        <v>0</v>
      </c>
      <c r="L6" s="31">
        <f>+Mensual!M6</f>
        <v>0</v>
      </c>
      <c r="M6" s="3"/>
      <c r="N6" s="3"/>
      <c r="O6" s="3"/>
      <c r="P6" s="3"/>
      <c r="Q6" s="3"/>
      <c r="R6" s="3"/>
      <c r="S6" s="3"/>
    </row>
    <row r="7" spans="1:21" x14ac:dyDescent="0.25">
      <c r="B7" s="3">
        <v>0.03</v>
      </c>
      <c r="C7" s="15" t="s">
        <v>18</v>
      </c>
      <c r="D7" s="33">
        <f>IF(VLOOKUP($C7,Mensual!$D$6:$G$163,2,0)&lt;0,0,VLOOKUP($C7,Mensual!$D$6:$G$163,2,0))</f>
        <v>0</v>
      </c>
      <c r="E7" s="4">
        <f>IF(VLOOKUP($C7,Mensual!$D$6:$G$163,3,0)&lt;0,0,VLOOKUP($C7,Mensual!$D$6:$G$163,3,0))</f>
        <v>0.1</v>
      </c>
      <c r="F7" s="4">
        <f>IF(VLOOKUP($C7,Mensual!$D$6:$G$163,4,0)&lt;0,0,VLOOKUP($C7,Mensual!$D$6:$G$163,4,0))</f>
        <v>0.1</v>
      </c>
      <c r="G7" s="4">
        <f>IF(VLOOKUP($C7,Mensual!$D$6:$H$163,5,0)&lt;0,0,VLOOKUP($C7,Mensual!$D$6:$H$163,5,0))</f>
        <v>1</v>
      </c>
      <c r="H7" s="4">
        <f t="shared" ref="H7:H21" si="0">+G7*B7</f>
        <v>0.03</v>
      </c>
      <c r="I7" s="36"/>
      <c r="J7" s="36"/>
      <c r="K7" s="36"/>
      <c r="L7" s="36"/>
      <c r="M7" s="1"/>
      <c r="N7" s="1"/>
      <c r="O7" s="1"/>
      <c r="P7" s="1"/>
      <c r="Q7" s="1"/>
      <c r="R7" s="1"/>
      <c r="S7" s="1"/>
    </row>
    <row r="8" spans="1:21" x14ac:dyDescent="0.25">
      <c r="B8" s="3">
        <v>0.03</v>
      </c>
      <c r="C8" s="15" t="s">
        <v>19</v>
      </c>
      <c r="D8" s="33" t="str">
        <f>IF(VLOOKUP($C8,Mensual!$D$6:$G$163,2,0)&lt;0,0,VLOOKUP($C8,Mensual!$D$6:$G$163,2,0))</f>
        <v>%</v>
      </c>
      <c r="E8" s="4">
        <f>IF(VLOOKUP($C8,Mensual!$D$6:$G$163,3,0)&lt;0,0,VLOOKUP($C8,Mensual!$D$6:$G$163,3,0))</f>
        <v>0.1</v>
      </c>
      <c r="F8" s="4">
        <f>IF(VLOOKUP($C8,Mensual!$D$6:$G$163,4,0)&lt;0,0,VLOOKUP($C8,Mensual!$D$6:$G$163,4,0))</f>
        <v>0.32</v>
      </c>
      <c r="G8" s="4">
        <f>IF(VLOOKUP($C8,Mensual!$D$6:$H$163,5,0)&lt;0,0,VLOOKUP($C8,Mensual!$D$6:$H$163,5,0))</f>
        <v>1</v>
      </c>
      <c r="H8" s="4">
        <f t="shared" si="0"/>
        <v>0.03</v>
      </c>
      <c r="I8" s="36"/>
      <c r="J8" s="36"/>
      <c r="K8" s="36"/>
      <c r="L8" s="36"/>
      <c r="M8" s="1"/>
      <c r="N8" s="1"/>
      <c r="O8" s="1"/>
      <c r="P8" s="1"/>
      <c r="Q8" s="1"/>
      <c r="R8" s="1"/>
      <c r="S8" s="1"/>
    </row>
    <row r="9" spans="1:21" x14ac:dyDescent="0.25">
      <c r="B9" s="3">
        <v>0.03</v>
      </c>
      <c r="C9" s="15" t="s">
        <v>20</v>
      </c>
      <c r="D9" s="33">
        <f>IF(VLOOKUP($C9,Mensual!$D$6:$G$163,2,0)&lt;0,0,VLOOKUP($C9,Mensual!$D$6:$G$163,2,0))</f>
        <v>0</v>
      </c>
      <c r="E9" s="4">
        <f>IF(VLOOKUP($C9,Mensual!$D$6:$G$163,3,0)&lt;0,0,VLOOKUP($C9,Mensual!$D$6:$G$163,3,0))</f>
        <v>0</v>
      </c>
      <c r="F9" s="4">
        <f>IF(VLOOKUP($C9,Mensual!$D$6:$G$163,4,0)&lt;0,0,VLOOKUP($C9,Mensual!$D$6:$G$163,4,0))</f>
        <v>0</v>
      </c>
      <c r="G9" s="4">
        <f>IF(VLOOKUP($C9,Mensual!$D$6:$H$163,5,0)&lt;0,0,VLOOKUP($C9,Mensual!$D$6:$H$163,5,0))</f>
        <v>1</v>
      </c>
      <c r="H9" s="4">
        <f t="shared" si="0"/>
        <v>0.03</v>
      </c>
      <c r="I9" s="36"/>
      <c r="J9" s="36"/>
      <c r="K9" s="36"/>
      <c r="L9" s="36"/>
      <c r="M9" s="1"/>
      <c r="N9" s="1"/>
      <c r="O9" s="1"/>
      <c r="P9" s="1"/>
      <c r="Q9" s="1"/>
      <c r="R9" s="1"/>
      <c r="S9" s="1"/>
    </row>
    <row r="10" spans="1:21" s="127" customFormat="1" x14ac:dyDescent="0.25">
      <c r="B10" s="128">
        <v>0.03</v>
      </c>
      <c r="C10" s="129" t="s">
        <v>21</v>
      </c>
      <c r="D10" s="130">
        <f>IF(VLOOKUP($C10,Mensual!$D$6:$G$163,2,0)&lt;0,0,VLOOKUP($C10,Mensual!$D$6:$G$163,2,0))</f>
        <v>0</v>
      </c>
      <c r="E10" s="131">
        <f>IF(VLOOKUP($C10,Mensual!$D$6:$G$163,3,0)&lt;0,0,VLOOKUP($C10,Mensual!$D$6:$G$163,3,0))</f>
        <v>0.05</v>
      </c>
      <c r="F10" s="131">
        <f>IF(VLOOKUP($C10,Mensual!$D$6:$G$163,4,0)&lt;0,0,VLOOKUP($C10,Mensual!$D$6:$G$163,4,0))</f>
        <v>0</v>
      </c>
      <c r="G10" s="131">
        <f>IF(VLOOKUP($C10,Mensual!$D$6:$H$163,5,0)&lt;0,0,VLOOKUP($C10,Mensual!$D$6:$H$163,5,0))</f>
        <v>0</v>
      </c>
      <c r="H10" s="131">
        <f t="shared" si="0"/>
        <v>0</v>
      </c>
      <c r="I10" s="132"/>
      <c r="J10" s="132"/>
      <c r="K10" s="132"/>
      <c r="L10" s="132"/>
      <c r="M10" s="133"/>
      <c r="N10" s="133"/>
      <c r="O10" s="133"/>
      <c r="P10" s="133"/>
      <c r="Q10" s="133"/>
      <c r="R10" s="133"/>
      <c r="S10" s="133"/>
    </row>
    <row r="11" spans="1:21" x14ac:dyDescent="0.25">
      <c r="B11" s="3">
        <v>0.03</v>
      </c>
      <c r="C11" s="15" t="s">
        <v>22</v>
      </c>
      <c r="D11" s="33">
        <f>IF(VLOOKUP($C11,Mensual!$D$6:$G$163,2,0)&lt;0,0,VLOOKUP($C11,Mensual!$D$6:$G$163,2,0))</f>
        <v>0</v>
      </c>
      <c r="E11" s="4">
        <f>IF(VLOOKUP($C11,Mensual!$D$6:$G$163,3,0)&lt;0,0,VLOOKUP($C11,Mensual!$D$6:$G$163,3,0))</f>
        <v>0.1</v>
      </c>
      <c r="F11" s="4">
        <f>IF(VLOOKUP($C11,Mensual!$D$6:$G$163,4,0)&lt;0,0,VLOOKUP($C11,Mensual!$D$6:$G$163,4,0))</f>
        <v>0</v>
      </c>
      <c r="G11" s="4">
        <f>IF(VLOOKUP($C11,Mensual!$D$6:$H$163,5,0)&lt;0,0,VLOOKUP($C11,Mensual!$D$6:$H$163,5,0))</f>
        <v>0</v>
      </c>
      <c r="H11" s="4">
        <f t="shared" si="0"/>
        <v>0</v>
      </c>
      <c r="I11" s="36"/>
      <c r="J11" s="36"/>
      <c r="K11" s="36"/>
      <c r="L11" s="36"/>
      <c r="M11" s="1"/>
      <c r="N11" s="1"/>
      <c r="O11" s="1"/>
      <c r="P11" s="1"/>
      <c r="Q11" s="1"/>
      <c r="R11" s="1"/>
      <c r="S11" s="1"/>
    </row>
    <row r="12" spans="1:21" x14ac:dyDescent="0.25">
      <c r="B12" s="3">
        <v>0.03</v>
      </c>
      <c r="C12" s="15" t="s">
        <v>23</v>
      </c>
      <c r="D12" s="33">
        <f>IF(VLOOKUP($C12,Mensual!$D$6:$G$163,2,0)&lt;0,0,VLOOKUP($C12,Mensual!$D$6:$G$163,2,0))</f>
        <v>0</v>
      </c>
      <c r="E12" s="4">
        <f>IF(VLOOKUP($C12,Mensual!$D$6:$G$163,3,0)&lt;0,0,VLOOKUP($C12,Mensual!$D$6:$G$163,3,0))</f>
        <v>0.2</v>
      </c>
      <c r="F12" s="4">
        <f>IF(VLOOKUP($C12,Mensual!$D$6:$G$163,4,0)&lt;0,0,VLOOKUP($C12,Mensual!$D$6:$G$163,4,0))</f>
        <v>0</v>
      </c>
      <c r="G12" s="4">
        <f>IF(VLOOKUP($C12,Mensual!$D$6:$H$163,5,0)&lt;0,0,VLOOKUP($C12,Mensual!$D$6:$H$163,5,0))</f>
        <v>0</v>
      </c>
      <c r="H12" s="4">
        <f t="shared" si="0"/>
        <v>0</v>
      </c>
      <c r="I12" s="36"/>
      <c r="J12" s="36"/>
      <c r="K12" s="36"/>
      <c r="L12" s="36"/>
      <c r="M12" s="1"/>
      <c r="N12" s="1"/>
      <c r="O12" s="1"/>
      <c r="P12" s="1"/>
      <c r="Q12" s="1"/>
      <c r="R12" s="1"/>
      <c r="S12" s="1"/>
    </row>
    <row r="13" spans="1:21" x14ac:dyDescent="0.25">
      <c r="B13" s="3">
        <v>0.03</v>
      </c>
      <c r="C13" s="15" t="s">
        <v>24</v>
      </c>
      <c r="D13" s="33" t="str">
        <f>IF(VLOOKUP($C13,Mensual!$D$6:$G$163,2,0)&lt;0,0,VLOOKUP($C13,Mensual!$D$6:$G$163,2,0))</f>
        <v>$</v>
      </c>
      <c r="E13" s="4">
        <f>IF(VLOOKUP($C13,Mensual!$D$6:$G$163,3,0)&lt;0,0,VLOOKUP($C13,Mensual!$D$6:$G$163,3,0))</f>
        <v>0.05</v>
      </c>
      <c r="F13" s="4">
        <f>IF(VLOOKUP($C13,Mensual!$D$6:$G$163,4,0)&lt;0,0,VLOOKUP($C13,Mensual!$D$6:$G$163,4,0))</f>
        <v>0.6</v>
      </c>
      <c r="G13" s="4">
        <f>IF(VLOOKUP($C13,Mensual!$D$6:$H$163,5,0)&lt;0,0,VLOOKUP($C13,Mensual!$D$6:$H$163,5,0))</f>
        <v>1</v>
      </c>
      <c r="H13" s="4">
        <f t="shared" si="0"/>
        <v>0.03</v>
      </c>
      <c r="I13" s="36"/>
      <c r="J13" s="36"/>
      <c r="K13" s="36"/>
      <c r="L13" s="36"/>
      <c r="M13" s="1"/>
      <c r="N13" s="1"/>
      <c r="O13" s="1"/>
      <c r="P13" s="1"/>
      <c r="Q13" s="1"/>
      <c r="R13" s="1"/>
      <c r="S13" s="1"/>
    </row>
    <row r="14" spans="1:21" x14ac:dyDescent="0.25">
      <c r="B14" s="3">
        <v>0.03</v>
      </c>
      <c r="C14" s="15" t="s">
        <v>25</v>
      </c>
      <c r="D14" s="33">
        <f>IF(VLOOKUP($C14,Mensual!$D$6:$G$163,2,0)&lt;0,0,VLOOKUP($C14,Mensual!$D$6:$G$163,2,0))</f>
        <v>0</v>
      </c>
      <c r="E14" s="4">
        <f>IF(VLOOKUP($C14,Mensual!$D$6:$G$163,3,0)&lt;0,0,VLOOKUP($C14,Mensual!$D$6:$G$163,3,0))</f>
        <v>4500</v>
      </c>
      <c r="F14" s="4">
        <f>IF(VLOOKUP($C14,Mensual!$D$6:$G$163,4,0)&lt;0,0,VLOOKUP($C14,Mensual!$D$6:$G$163,4,0))</f>
        <v>4782</v>
      </c>
      <c r="G14" s="4">
        <f>IF(VLOOKUP($C14,Mensual!$D$6:$H$163,5,0)&lt;0,0,VLOOKUP($C14,Mensual!$D$6:$H$163,5,0))</f>
        <v>1</v>
      </c>
      <c r="H14" s="4">
        <f t="shared" si="0"/>
        <v>0.03</v>
      </c>
      <c r="I14" s="36"/>
      <c r="J14" s="36"/>
      <c r="K14" s="36"/>
      <c r="L14" s="36"/>
      <c r="M14" s="1"/>
      <c r="N14" s="1"/>
      <c r="O14" s="1"/>
      <c r="P14" s="1"/>
      <c r="Q14" s="1"/>
      <c r="R14" s="1"/>
      <c r="S14" s="1"/>
    </row>
    <row r="15" spans="1:21" x14ac:dyDescent="0.25">
      <c r="B15" s="3">
        <v>0.03</v>
      </c>
      <c r="C15" s="15" t="s">
        <v>26</v>
      </c>
      <c r="D15" s="33" t="str">
        <f>IF(VLOOKUP($C15,Mensual!$D$6:$G$163,2,0)&lt;0,0,VLOOKUP($C15,Mensual!$D$6:$G$163,2,0))</f>
        <v>%</v>
      </c>
      <c r="E15" s="4">
        <f>IF(VLOOKUP($C15,Mensual!$D$6:$G$163,3,0)&lt;0,0,VLOOKUP($C15,Mensual!$D$6:$G$163,3,0))</f>
        <v>0.05</v>
      </c>
      <c r="F15" s="4">
        <f>IF(VLOOKUP($C15,Mensual!$D$6:$G$163,4,0)&lt;0,0,VLOOKUP($C15,Mensual!$D$6:$G$163,4,0))</f>
        <v>0.05</v>
      </c>
      <c r="G15" s="4">
        <f>IF(VLOOKUP($C15,Mensual!$D$6:$H$163,5,0)&lt;0,0,VLOOKUP($C15,Mensual!$D$6:$H$163,5,0))</f>
        <v>1</v>
      </c>
      <c r="H15" s="4">
        <f t="shared" si="0"/>
        <v>0.03</v>
      </c>
      <c r="I15" s="36"/>
      <c r="J15" s="36"/>
      <c r="K15" s="36"/>
      <c r="L15" s="36"/>
      <c r="M15" s="1"/>
      <c r="N15" s="1"/>
      <c r="O15" s="1"/>
      <c r="P15" s="1"/>
      <c r="Q15" s="1"/>
      <c r="R15" s="1"/>
      <c r="S15" s="1"/>
    </row>
    <row r="16" spans="1:21" x14ac:dyDescent="0.25">
      <c r="B16" s="3">
        <v>0.03</v>
      </c>
      <c r="C16" s="15" t="s">
        <v>27</v>
      </c>
      <c r="D16" s="33" t="str">
        <f>IF(VLOOKUP($C16,Mensual!$D$6:$G$163,2,0)&lt;0,0,VLOOKUP($C16,Mensual!$D$6:$G$163,2,0))</f>
        <v>cabezal</v>
      </c>
      <c r="E16" s="4">
        <f>IF(VLOOKUP($C16,Mensual!$D$6:$G$163,3,0)&lt;0,0,VLOOKUP($C16,Mensual!$D$6:$G$163,3,0))</f>
        <v>1</v>
      </c>
      <c r="F16" s="4">
        <f>IF(VLOOKUP($C16,Mensual!$D$6:$G$163,4,0)&lt;0,0,VLOOKUP($C16,Mensual!$D$6:$G$163,4,0))</f>
        <v>1</v>
      </c>
      <c r="G16" s="4">
        <f>IF(VLOOKUP($C16,Mensual!$D$6:$H$163,5,0)&lt;0,0,VLOOKUP($C16,Mensual!$D$6:$H$163,5,0))</f>
        <v>0</v>
      </c>
      <c r="H16" s="4">
        <f>+G16*B16</f>
        <v>0</v>
      </c>
      <c r="I16" s="36"/>
      <c r="J16" s="36"/>
      <c r="K16" s="36"/>
      <c r="L16" s="36"/>
      <c r="M16" s="1"/>
      <c r="N16" s="1"/>
      <c r="O16" s="1"/>
      <c r="P16" s="1"/>
      <c r="Q16" s="1"/>
      <c r="R16" s="1"/>
      <c r="S16" s="1"/>
    </row>
    <row r="17" spans="2:19" x14ac:dyDescent="0.25">
      <c r="B17" s="3">
        <v>0.08</v>
      </c>
      <c r="C17" s="15" t="s">
        <v>28</v>
      </c>
      <c r="D17" s="33">
        <f>IF(VLOOKUP($C17,Mensual!$D$6:$G$163,2,0)&lt;0,0,VLOOKUP($C17,Mensual!$D$6:$G$163,2,0))</f>
        <v>0</v>
      </c>
      <c r="E17" s="4">
        <f>IF(VLOOKUP($C17,Mensual!$D$6:$G$163,3,0)&lt;0,0,VLOOKUP($C17,Mensual!$D$6:$G$163,3,0))</f>
        <v>0.05</v>
      </c>
      <c r="F17" s="4">
        <f>IF(VLOOKUP($C17,Mensual!$D$6:$G$163,4,0)&lt;0,0,VLOOKUP($C17,Mensual!$D$6:$G$163,4,0))</f>
        <v>0.05</v>
      </c>
      <c r="G17" s="4">
        <f>IF(VLOOKUP($C17,Mensual!$D$6:$H$163,5,0)&lt;0,0,VLOOKUP($C17,Mensual!$D$6:$H$163,5,0))</f>
        <v>1</v>
      </c>
      <c r="H17" s="4">
        <f t="shared" si="0"/>
        <v>0.08</v>
      </c>
      <c r="I17" s="36"/>
      <c r="J17" s="36"/>
      <c r="K17" s="36"/>
      <c r="L17" s="36"/>
      <c r="M17" s="1"/>
      <c r="N17" s="1"/>
      <c r="O17" s="1"/>
      <c r="P17" s="1"/>
      <c r="Q17" s="1"/>
      <c r="R17" s="1"/>
      <c r="S17" s="1"/>
    </row>
    <row r="18" spans="2:19" x14ac:dyDescent="0.25">
      <c r="B18" s="3">
        <v>0.08</v>
      </c>
      <c r="C18" s="15" t="s">
        <v>29</v>
      </c>
      <c r="D18" s="33">
        <f>IF(VLOOKUP($C18,Mensual!$D$6:$G$163,2,0)&lt;0,0,VLOOKUP($C18,Mensual!$D$6:$G$163,2,0))</f>
        <v>0</v>
      </c>
      <c r="E18" s="4">
        <f>IF(VLOOKUP($C18,Mensual!$D$6:$G$163,3,0)&lt;0,0,VLOOKUP($C18,Mensual!$D$6:$G$163,3,0))</f>
        <v>0.05</v>
      </c>
      <c r="F18" s="4">
        <f>IF(VLOOKUP($C18,Mensual!$D$6:$G$163,4,0)&lt;0,0,VLOOKUP($C18,Mensual!$D$6:$G$163,4,0))</f>
        <v>1</v>
      </c>
      <c r="G18" s="4">
        <f>IF(VLOOKUP($C18,Mensual!$D$6:$H$163,5,0)&lt;0,0,VLOOKUP($C18,Mensual!$D$6:$H$163,5,0))</f>
        <v>1</v>
      </c>
      <c r="H18" s="4">
        <f t="shared" si="0"/>
        <v>0.08</v>
      </c>
      <c r="I18" s="36"/>
      <c r="J18" s="36"/>
      <c r="K18" s="36"/>
      <c r="L18" s="36"/>
      <c r="M18" s="1"/>
      <c r="N18" s="1"/>
      <c r="O18" s="1"/>
      <c r="P18" s="1"/>
      <c r="Q18" s="1"/>
      <c r="R18" s="1"/>
      <c r="S18" s="1"/>
    </row>
    <row r="19" spans="2:19" x14ac:dyDescent="0.25">
      <c r="B19" s="3">
        <v>0.1</v>
      </c>
      <c r="C19" s="15" t="s">
        <v>30</v>
      </c>
      <c r="D19" s="33" t="str">
        <f>IF(VLOOKUP($C19,Mensual!$D$6:$G$163,2,0)&lt;0,0,VLOOKUP($C19,Mensual!$D$6:$G$163,2,0))</f>
        <v># de cierres a tiempo</v>
      </c>
      <c r="E19" s="4">
        <f>IF(VLOOKUP($C19,Mensual!$D$6:$G$163,3,0)&lt;0,0,VLOOKUP($C19,Mensual!$D$6:$G$163,3,0))</f>
        <v>6</v>
      </c>
      <c r="F19" s="4">
        <f>IF(VLOOKUP($C19,Mensual!$D$6:$G$163,4,0)&lt;0,0,VLOOKUP($C19,Mensual!$D$6:$G$163,4,0))</f>
        <v>6</v>
      </c>
      <c r="G19" s="4">
        <f>IF(VLOOKUP($C19,Mensual!$D$6:$H$163,5,0)&lt;0,0,VLOOKUP($C19,Mensual!$D$6:$H$163,5,0))</f>
        <v>1</v>
      </c>
      <c r="H19" s="4">
        <f t="shared" si="0"/>
        <v>0.1</v>
      </c>
      <c r="I19" s="36"/>
      <c r="J19" s="36"/>
      <c r="K19" s="36"/>
      <c r="L19" s="36"/>
      <c r="M19" s="1"/>
      <c r="N19" s="1"/>
      <c r="O19" s="1"/>
      <c r="P19" s="1"/>
      <c r="Q19" s="1"/>
      <c r="R19" s="1"/>
      <c r="S19" s="1"/>
    </row>
    <row r="20" spans="2:19" x14ac:dyDescent="0.25">
      <c r="B20" s="3">
        <v>0.03</v>
      </c>
      <c r="C20" s="15" t="s">
        <v>31</v>
      </c>
      <c r="D20" s="33" t="str">
        <f>IF(VLOOKUP($C20,Mensual!$D$6:$G$163,2,0)&lt;0,0,VLOOKUP($C20,Mensual!$D$6:$G$163,2,0))</f>
        <v>Dólares</v>
      </c>
      <c r="E20" s="4">
        <f>IF(VLOOKUP($C20,Mensual!$D$6:$G$163,3,0)&lt;0,0,VLOOKUP($C20,Mensual!$D$6:$G$163,3,0))</f>
        <v>0.2</v>
      </c>
      <c r="F20" s="4">
        <f>IF(VLOOKUP($C20,Mensual!$D$6:$G$163,4,0)&lt;0,0,VLOOKUP($C20,Mensual!$D$6:$G$163,4,0))</f>
        <v>1.03</v>
      </c>
      <c r="G20" s="4">
        <f>IF(VLOOKUP($C20,Mensual!$D$6:$H$163,5,0)&lt;0,0,VLOOKUP($C20,Mensual!$D$6:$H$163,5,0))</f>
        <v>1</v>
      </c>
      <c r="H20" s="4">
        <f t="shared" si="0"/>
        <v>0.03</v>
      </c>
      <c r="I20" s="36"/>
      <c r="J20" s="36"/>
      <c r="K20" s="36"/>
      <c r="L20" s="36"/>
      <c r="M20" s="1"/>
      <c r="N20" s="1"/>
      <c r="O20" s="1"/>
      <c r="P20" s="1"/>
      <c r="Q20" s="1"/>
      <c r="R20" s="1"/>
      <c r="S20" s="1"/>
    </row>
    <row r="21" spans="2:19" x14ac:dyDescent="0.25">
      <c r="B21" s="3">
        <v>0.03</v>
      </c>
      <c r="C21" s="15" t="s">
        <v>24</v>
      </c>
      <c r="D21" s="33" t="str">
        <f>IF(VLOOKUP($C21,Mensual!$D$6:$G$163,2,0)&lt;0,0,VLOOKUP($C21,Mensual!$D$6:$G$163,2,0))</f>
        <v>$</v>
      </c>
      <c r="E21" s="4">
        <f>IF(VLOOKUP($C21,Mensual!$D$6:$G$163,3,0)&lt;0,0,VLOOKUP($C21,Mensual!$D$6:$G$163,3,0))</f>
        <v>0.05</v>
      </c>
      <c r="F21" s="4">
        <f>IF(VLOOKUP($C21,Mensual!$D$6:$G$163,4,0)&lt;0,0,VLOOKUP($C21,Mensual!$D$6:$G$163,4,0))</f>
        <v>0.6</v>
      </c>
      <c r="G21" s="4">
        <f>IF(VLOOKUP($C21,Mensual!$D$6:$H$163,5,0)&lt;0,0,VLOOKUP($C21,Mensual!$D$6:$H$163,5,0))</f>
        <v>1</v>
      </c>
      <c r="H21" s="4">
        <f t="shared" si="0"/>
        <v>0.03</v>
      </c>
      <c r="I21" s="36"/>
      <c r="J21" s="36"/>
      <c r="K21" s="36"/>
      <c r="L21" s="36"/>
      <c r="M21" s="1"/>
      <c r="N21" s="1"/>
      <c r="O21" s="1"/>
      <c r="P21" s="1"/>
      <c r="Q21" s="1"/>
      <c r="R21" s="1"/>
      <c r="S21" s="1"/>
    </row>
    <row r="22" spans="2:19" x14ac:dyDescent="0.25">
      <c r="B22" s="1">
        <f>SUM(B6:B21)</f>
        <v>1.0000000000000002</v>
      </c>
      <c r="C22" s="2"/>
      <c r="D22" s="1"/>
      <c r="E22" s="1"/>
      <c r="F22" s="1"/>
      <c r="G22" s="1"/>
      <c r="H22" s="35">
        <f>SUM(H6:H21)</f>
        <v>0.8923500000000002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2:19" x14ac:dyDescent="0.25">
      <c r="C23" s="2"/>
    </row>
  </sheetData>
  <mergeCells count="2">
    <mergeCell ref="D2:F2"/>
    <mergeCell ref="D3:F3"/>
  </mergeCells>
  <dataValidations count="1">
    <dataValidation type="list" allowBlank="1" showInputMessage="1" showErrorMessage="1" sqref="D3:F3" xr:uid="{00000000-0002-0000-0100-000000000000}">
      <formula1>INDIRECT(D2)</formula1>
    </dataValidation>
  </dataValidation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1000000}">
          <x14:formula1>
            <xm:f>Listados!$A$1:$L$1</xm:f>
          </x14:formula1>
          <xm:sqref>D2:F2</xm:sqref>
        </x14:dataValidation>
        <x14:dataValidation type="list" allowBlank="1" showInputMessage="1" showErrorMessage="1" xr:uid="{00000000-0002-0000-0100-000002000000}">
          <x14:formula1>
            <xm:f>Acumulado!$C$3:$C$661</xm:f>
          </x14:formula1>
          <xm:sqref>C6</xm:sqref>
        </x14:dataValidation>
        <x14:dataValidation type="list" allowBlank="1" showInputMessage="1" showErrorMessage="1" xr:uid="{00000000-0002-0000-0100-000003000000}">
          <x14:formula1>
            <xm:f>Acumulado!$C$3:$C$131</xm:f>
          </x14:formula1>
          <xm:sqref>C7:C21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3"/>
  <sheetViews>
    <sheetView showGridLines="0" zoomScaleNormal="100" workbookViewId="0">
      <selection activeCell="C30" sqref="C30"/>
    </sheetView>
  </sheetViews>
  <sheetFormatPr baseColWidth="10" defaultColWidth="11.42578125" defaultRowHeight="15" x14ac:dyDescent="0.25"/>
  <cols>
    <col min="3" max="3" width="65.85546875" bestFit="1" customWidth="1"/>
    <col min="4" max="4" width="19.5703125" customWidth="1"/>
    <col min="5" max="5" width="13.85546875" bestFit="1" customWidth="1"/>
    <col min="6" max="6" width="12.85546875" bestFit="1" customWidth="1"/>
    <col min="7" max="17" width="7.85546875" customWidth="1"/>
  </cols>
  <sheetData>
    <row r="1" spans="1:21" x14ac:dyDescent="0.25">
      <c r="I1" s="38">
        <v>0.9</v>
      </c>
      <c r="J1" s="41"/>
    </row>
    <row r="2" spans="1:21" x14ac:dyDescent="0.25">
      <c r="C2" s="14" t="s">
        <v>0</v>
      </c>
      <c r="D2" s="243" t="s">
        <v>32</v>
      </c>
      <c r="E2" s="243"/>
      <c r="F2" s="243"/>
      <c r="I2" s="39" t="s">
        <v>1</v>
      </c>
      <c r="J2" s="42"/>
    </row>
    <row r="3" spans="1:21" x14ac:dyDescent="0.25">
      <c r="C3" s="7" t="s">
        <v>2</v>
      </c>
      <c r="D3" s="244" t="s">
        <v>33</v>
      </c>
      <c r="E3" s="244"/>
      <c r="F3" s="244"/>
      <c r="I3" s="39" t="s">
        <v>4</v>
      </c>
      <c r="J3" s="40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x14ac:dyDescent="0.25">
      <c r="A6">
        <f>+Mensual!B6</f>
        <v>4</v>
      </c>
      <c r="B6" s="3">
        <v>0.55000000000000004</v>
      </c>
      <c r="C6" s="15" t="s">
        <v>7</v>
      </c>
      <c r="D6" s="33" t="str">
        <f>IF(VLOOKUP($C6,Mensual!$D$6:$G$163,2,0)&lt;0,0,VLOOKUP($C6,Mensual!$D$6:$G$163,2,0))</f>
        <v>RESULTADO SCORECARD</v>
      </c>
      <c r="E6" s="4">
        <f>IF(VLOOKUP($C6,Mensual!$D$6:$G$163,3,0)&lt;0,0,VLOOKUP($C6,Mensual!$D$6:$G$163,3,0))</f>
        <v>1</v>
      </c>
      <c r="F6" s="4">
        <f>IF(VLOOKUP($C6,Mensual!$D$6:$G$163,4,0)&lt;0,0,VLOOKUP($C6,Mensual!$D$6:$G$163,4,0))</f>
        <v>1.0325000000000002</v>
      </c>
      <c r="G6" s="4">
        <f>IF(VLOOKUP($C6,Mensual!$D$6:$H$163,5,0)&lt;0,0,VLOOKUP($C6,Mensual!$D$6:$H$163,5,0))</f>
        <v>1.0325000000000002</v>
      </c>
      <c r="H6" s="4">
        <f>+G6*B6</f>
        <v>0.56787500000000013</v>
      </c>
      <c r="I6" s="31">
        <f>+Mensual!J6</f>
        <v>0</v>
      </c>
      <c r="J6" s="31">
        <f>+Mensual!K6</f>
        <v>0</v>
      </c>
      <c r="K6" s="31">
        <f>+Mensual!L6</f>
        <v>0</v>
      </c>
      <c r="L6" s="31">
        <f>+Mensual!M6</f>
        <v>0</v>
      </c>
      <c r="M6" s="3"/>
      <c r="N6" s="3"/>
      <c r="O6" s="3"/>
      <c r="P6" s="3"/>
      <c r="Q6" s="3"/>
      <c r="R6" s="3"/>
      <c r="S6" s="3"/>
    </row>
    <row r="7" spans="1:21" x14ac:dyDescent="0.25">
      <c r="B7" s="3">
        <v>0.05</v>
      </c>
      <c r="C7" s="15" t="s">
        <v>34</v>
      </c>
      <c r="D7" s="33">
        <f>IF(VLOOKUP($C7,Mensual!$D$6:$G$163,2,0)&lt;0,0,VLOOKUP($C7,Mensual!$D$6:$G$163,2,0))</f>
        <v>0</v>
      </c>
      <c r="E7" s="4">
        <f>IF(VLOOKUP($C7,Mensual!$D$6:$G$163,3,0)&lt;0,0,VLOOKUP($C7,Mensual!$D$6:$G$163,3,0))</f>
        <v>1</v>
      </c>
      <c r="F7" s="4">
        <f>IF(VLOOKUP($C7,Mensual!$D$6:$G$163,4,0)&lt;0,0,VLOOKUP($C7,Mensual!$D$6:$G$163,4,0))</f>
        <v>1</v>
      </c>
      <c r="G7" s="4">
        <f>IF(VLOOKUP($C7,Mensual!$D$6:$H$163,5,0)&lt;0,0,VLOOKUP($C7,Mensual!$D$6:$H$163,5,0))</f>
        <v>1</v>
      </c>
      <c r="H7" s="4">
        <f t="shared" ref="H7:H10" si="0">+G7*B7</f>
        <v>0.05</v>
      </c>
      <c r="I7" s="36"/>
      <c r="J7" s="36"/>
      <c r="K7" s="36"/>
      <c r="L7" s="36"/>
      <c r="M7" s="1"/>
      <c r="N7" s="1"/>
      <c r="O7" s="1"/>
      <c r="P7" s="1"/>
      <c r="Q7" s="1"/>
      <c r="R7" s="1"/>
      <c r="S7" s="1"/>
    </row>
    <row r="8" spans="1:21" x14ac:dyDescent="0.25">
      <c r="B8" s="3">
        <v>0.25</v>
      </c>
      <c r="C8" s="15" t="s">
        <v>35</v>
      </c>
      <c r="D8" s="33">
        <f>IF(VLOOKUP($C8,Mensual!$D$6:$G$163,2,0)&lt;0,0,VLOOKUP($C8,Mensual!$D$6:$G$163,2,0))</f>
        <v>0</v>
      </c>
      <c r="E8" s="33">
        <f>IF(VLOOKUP($C8,Mensual!$D$6:$G$163,3,0)&lt;0,0,VLOOKUP($C8,Mensual!$D$6:$G$163,3,0))</f>
        <v>1</v>
      </c>
      <c r="F8" s="33">
        <f>IF(VLOOKUP($C8,Mensual!$D$6:$G$163,4,0)&lt;0,0,VLOOKUP($C8,Mensual!$D$6:$G$163,4,0))</f>
        <v>1</v>
      </c>
      <c r="G8" s="4">
        <f>IF(VLOOKUP($C8,Mensual!$D$6:$H$163,5,0)&lt;0,0,VLOOKUP($C8,Mensual!$D$6:$H$163,5,0))</f>
        <v>1</v>
      </c>
      <c r="H8" s="4">
        <f t="shared" si="0"/>
        <v>0.25</v>
      </c>
      <c r="I8" s="36"/>
      <c r="J8" s="36"/>
      <c r="K8" s="36"/>
      <c r="L8" s="36"/>
      <c r="M8" s="1"/>
      <c r="N8" s="1"/>
      <c r="O8" s="1"/>
      <c r="P8" s="1"/>
      <c r="Q8" s="1"/>
      <c r="R8" s="1"/>
      <c r="S8" s="1"/>
    </row>
    <row r="9" spans="1:21" x14ac:dyDescent="0.25">
      <c r="B9" s="3">
        <v>0.05</v>
      </c>
      <c r="C9" s="15" t="s">
        <v>36</v>
      </c>
      <c r="D9" s="33">
        <f>IF(VLOOKUP($C9,Mensual!$D$6:$G$163,2,0)&lt;0,0,VLOOKUP($C9,Mensual!$D$6:$G$163,2,0))</f>
        <v>0</v>
      </c>
      <c r="E9" s="4">
        <f>IF(VLOOKUP($C9,Mensual!$D$6:$G$163,3,0)&lt;0,0,VLOOKUP($C9,Mensual!$D$6:$G$163,3,0))</f>
        <v>0.9</v>
      </c>
      <c r="F9" s="4">
        <f>IF(VLOOKUP($C9,Mensual!$D$6:$G$163,4,0)&lt;0,0,VLOOKUP($C9,Mensual!$D$6:$G$163,4,0))</f>
        <v>0.82</v>
      </c>
      <c r="G9" s="4">
        <f>IF(VLOOKUP($C9,Mensual!$D$6:$H$163,5,0)&lt;0,0,VLOOKUP($C9,Mensual!$D$6:$H$163,5,0))</f>
        <v>0.91111111111111098</v>
      </c>
      <c r="H9" s="4">
        <f>+G9*B9</f>
        <v>4.5555555555555551E-2</v>
      </c>
      <c r="I9" s="36"/>
      <c r="J9" s="36"/>
      <c r="K9" s="36"/>
      <c r="L9" s="36"/>
      <c r="M9" s="1"/>
      <c r="N9" s="1"/>
      <c r="O9" s="1"/>
      <c r="P9" s="1"/>
      <c r="Q9" s="1"/>
      <c r="R9" s="1"/>
      <c r="S9" s="1"/>
    </row>
    <row r="10" spans="1:21" x14ac:dyDescent="0.25">
      <c r="B10" s="3">
        <v>0.1</v>
      </c>
      <c r="C10" s="15" t="s">
        <v>37</v>
      </c>
      <c r="D10" s="33">
        <f>IF(VLOOKUP($C10,Mensual!$D$6:$G$163,2,0)&lt;0,0,VLOOKUP($C10,Mensual!$D$6:$G$163,2,0))</f>
        <v>0</v>
      </c>
      <c r="E10" s="33">
        <f>IF(VLOOKUP($C10,Mensual!$D$6:$G$163,3,0)&lt;0,0,VLOOKUP($C10,Mensual!$D$6:$G$163,3,0))</f>
        <v>3700</v>
      </c>
      <c r="F10" s="33">
        <f>IF(VLOOKUP($C10,Mensual!$D$6:$G$163,4,0)&lt;0,0,VLOOKUP($C10,Mensual!$D$6:$G$163,4,0))</f>
        <v>3932</v>
      </c>
      <c r="G10" s="4">
        <f>IF(VLOOKUP($C10,Mensual!$D$6:$H$163,5,0)&lt;0,0,VLOOKUP($C10,Mensual!$D$6:$H$163,5,0))</f>
        <v>1</v>
      </c>
      <c r="H10" s="4">
        <f t="shared" si="0"/>
        <v>0.1</v>
      </c>
      <c r="I10" s="36"/>
      <c r="J10" s="36"/>
      <c r="K10" s="36"/>
      <c r="L10" s="36"/>
      <c r="M10" s="1"/>
      <c r="N10" s="1"/>
      <c r="O10" s="1"/>
      <c r="P10" s="1"/>
      <c r="Q10" s="1"/>
      <c r="R10" s="1"/>
      <c r="S10" s="1"/>
    </row>
    <row r="11" spans="1:21" x14ac:dyDescent="0.25">
      <c r="B11" s="1">
        <f>SUM(B6:B10)</f>
        <v>1.0000000000000002</v>
      </c>
      <c r="C11" s="2"/>
      <c r="D11" s="1"/>
      <c r="E11" s="1"/>
      <c r="F11" s="1"/>
      <c r="G11" s="1"/>
      <c r="H11" s="53">
        <f>SUM(H6:H10)</f>
        <v>1.0134305555555558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21" x14ac:dyDescent="0.25">
      <c r="C12" s="2"/>
    </row>
    <row r="14" spans="1:21" x14ac:dyDescent="0.25">
      <c r="B14" t="s">
        <v>376</v>
      </c>
    </row>
    <row r="15" spans="1:21" x14ac:dyDescent="0.25">
      <c r="B15" t="str">
        <f>+B5</f>
        <v>Peso</v>
      </c>
      <c r="C15">
        <f t="shared" ref="C15:E15" si="1">+C5</f>
        <v>0</v>
      </c>
      <c r="D15" t="str">
        <f t="shared" si="1"/>
        <v>Unidad de medición</v>
      </c>
      <c r="E15" t="str">
        <f t="shared" si="1"/>
        <v>Meta</v>
      </c>
      <c r="F15" t="s">
        <v>390</v>
      </c>
      <c r="G15" s="31" t="s">
        <v>378</v>
      </c>
      <c r="H15" s="31" t="s">
        <v>379</v>
      </c>
      <c r="I15" s="31" t="s">
        <v>380</v>
      </c>
      <c r="J15" s="31" t="s">
        <v>381</v>
      </c>
      <c r="K15" s="31" t="s">
        <v>382</v>
      </c>
      <c r="L15" s="31" t="s">
        <v>383</v>
      </c>
      <c r="M15" s="31" t="s">
        <v>384</v>
      </c>
      <c r="N15" s="31" t="s">
        <v>385</v>
      </c>
      <c r="O15" s="31" t="s">
        <v>386</v>
      </c>
      <c r="P15" s="31" t="s">
        <v>387</v>
      </c>
      <c r="Q15" s="31" t="s">
        <v>388</v>
      </c>
    </row>
    <row r="16" spans="1:21" x14ac:dyDescent="0.25">
      <c r="B16">
        <f t="shared" ref="B16:F16" si="2">+B6</f>
        <v>0.55000000000000004</v>
      </c>
      <c r="C16" t="str">
        <f t="shared" si="2"/>
        <v>9. SCORE CARD Grupo EXA</v>
      </c>
      <c r="D16" t="str">
        <f t="shared" si="2"/>
        <v>RESULTADO SCORECARD</v>
      </c>
      <c r="E16">
        <f t="shared" si="2"/>
        <v>1</v>
      </c>
      <c r="F16">
        <f t="shared" si="2"/>
        <v>1.0325000000000002</v>
      </c>
    </row>
    <row r="17" spans="2:17" x14ac:dyDescent="0.25">
      <c r="B17">
        <f t="shared" ref="B17:F17" si="3">+B7</f>
        <v>0.05</v>
      </c>
      <c r="C17" t="str">
        <f t="shared" si="3"/>
        <v>3. Cero incidentes mayores de seguridad y sostenibilidad</v>
      </c>
      <c r="D17">
        <f t="shared" si="3"/>
        <v>0</v>
      </c>
      <c r="E17">
        <f t="shared" si="3"/>
        <v>1</v>
      </c>
      <c r="F17">
        <f t="shared" si="3"/>
        <v>1</v>
      </c>
    </row>
    <row r="18" spans="2:17" x14ac:dyDescent="0.25">
      <c r="B18">
        <f t="shared" ref="B18:F18" si="4">+B8</f>
        <v>0.25</v>
      </c>
      <c r="C18" t="str">
        <f t="shared" si="4"/>
        <v>8. Innovaciones estratégicas de sistemas de Impacto recurrente</v>
      </c>
      <c r="D18">
        <f t="shared" si="4"/>
        <v>0</v>
      </c>
      <c r="E18">
        <f t="shared" si="4"/>
        <v>1</v>
      </c>
      <c r="F18">
        <f t="shared" si="4"/>
        <v>1</v>
      </c>
    </row>
    <row r="19" spans="2:17" x14ac:dyDescent="0.25">
      <c r="B19">
        <f t="shared" ref="B19:F19" si="5">+B9</f>
        <v>0.05</v>
      </c>
      <c r="C19" t="str">
        <f t="shared" si="5"/>
        <v>5.6 Aprovechamiento GPS</v>
      </c>
      <c r="D19">
        <f t="shared" si="5"/>
        <v>0</v>
      </c>
      <c r="E19">
        <f t="shared" si="5"/>
        <v>0.9</v>
      </c>
      <c r="F19">
        <f t="shared" si="5"/>
        <v>0.82</v>
      </c>
    </row>
    <row r="20" spans="2:17" x14ac:dyDescent="0.25">
      <c r="B20">
        <f t="shared" ref="B20:F20" si="6">+B10</f>
        <v>0.1</v>
      </c>
      <c r="C20" t="str">
        <f t="shared" si="6"/>
        <v>5. Productividad</v>
      </c>
      <c r="D20">
        <f t="shared" si="6"/>
        <v>0</v>
      </c>
      <c r="E20">
        <f t="shared" si="6"/>
        <v>3700</v>
      </c>
      <c r="F20">
        <f t="shared" si="6"/>
        <v>3932</v>
      </c>
    </row>
    <row r="21" spans="2:17" x14ac:dyDescent="0.25">
      <c r="B21" s="1">
        <f>SUM(B16:B20)</f>
        <v>1.0000000000000002</v>
      </c>
      <c r="C21" s="2"/>
      <c r="D21" s="1"/>
      <c r="E21" s="1"/>
      <c r="F21" s="1"/>
    </row>
    <row r="24" spans="2:17" x14ac:dyDescent="0.25">
      <c r="B24" t="s">
        <v>389</v>
      </c>
    </row>
    <row r="26" spans="2:17" x14ac:dyDescent="0.25">
      <c r="B26" t="s">
        <v>376</v>
      </c>
    </row>
    <row r="27" spans="2:17" x14ac:dyDescent="0.25">
      <c r="B27">
        <f>+Mensual!C27</f>
        <v>0.27500000000000002</v>
      </c>
      <c r="C27" s="5"/>
      <c r="D27" s="31">
        <f>+Mensual!E27</f>
        <v>0</v>
      </c>
      <c r="E27" s="31"/>
      <c r="F27" s="31" t="s">
        <v>377</v>
      </c>
      <c r="G27" s="31" t="s">
        <v>378</v>
      </c>
      <c r="H27" s="31" t="s">
        <v>379</v>
      </c>
      <c r="I27" s="31" t="s">
        <v>380</v>
      </c>
      <c r="J27" s="31" t="s">
        <v>381</v>
      </c>
      <c r="K27" s="31" t="s">
        <v>382</v>
      </c>
      <c r="L27" s="31" t="s">
        <v>383</v>
      </c>
      <c r="M27" s="31" t="s">
        <v>384</v>
      </c>
      <c r="N27" s="31" t="s">
        <v>385</v>
      </c>
      <c r="O27" s="31" t="s">
        <v>386</v>
      </c>
      <c r="P27" s="31" t="s">
        <v>387</v>
      </c>
      <c r="Q27" s="31" t="s">
        <v>388</v>
      </c>
    </row>
    <row r="28" spans="2:17" x14ac:dyDescent="0.25">
      <c r="B28" s="3">
        <v>0.55000000000000004</v>
      </c>
      <c r="C28" s="15" t="s">
        <v>7</v>
      </c>
      <c r="D28" s="33" t="str">
        <f>IF(VLOOKUP($C28,Mensual!$D$6:$G$163,2,0)&lt;0,0,VLOOKUP($C28,Mensual!$D$6:$G$163,2,0))</f>
        <v>RESULTADO SCORECARD</v>
      </c>
      <c r="E28" s="4">
        <f>IF(VLOOKUP($C28,Mensual!$D$6:$G$163,3,0)&lt;0,0,VLOOKUP($C28,Mensual!$D$6:$G$163,3,0))</f>
        <v>1</v>
      </c>
      <c r="F28" s="4">
        <f>IF(VLOOKUP($C28,Mensual!$D$6:$G$163,4,0)&lt;0,0,VLOOKUP($C28,Mensual!$D$6:$G$163,4,0))</f>
        <v>1.0325000000000002</v>
      </c>
    </row>
    <row r="29" spans="2:17" x14ac:dyDescent="0.25">
      <c r="B29" s="3">
        <v>0.05</v>
      </c>
      <c r="C29" s="15" t="s">
        <v>34</v>
      </c>
      <c r="D29" s="33">
        <f>IF(VLOOKUP($C29,Mensual!$D$6:$G$163,2,0)&lt;0,0,VLOOKUP($C29,Mensual!$D$6:$G$163,2,0))</f>
        <v>0</v>
      </c>
      <c r="E29" s="4">
        <f>IF(VLOOKUP($C29,Mensual!$D$6:$G$163,3,0)&lt;0,0,VLOOKUP($C29,Mensual!$D$6:$G$163,3,0))</f>
        <v>1</v>
      </c>
      <c r="F29" s="4">
        <f>IF(VLOOKUP($C29,Mensual!$D$6:$G$163,4,0)&lt;0,0,VLOOKUP($C29,Mensual!$D$6:$G$163,4,0))</f>
        <v>1</v>
      </c>
    </row>
    <row r="30" spans="2:17" x14ac:dyDescent="0.25">
      <c r="B30" s="3">
        <v>0.25</v>
      </c>
      <c r="C30" s="15" t="s">
        <v>35</v>
      </c>
      <c r="D30" s="33">
        <f>IF(VLOOKUP($C30,Mensual!$D$6:$G$163,2,0)&lt;0,0,VLOOKUP($C30,Mensual!$D$6:$G$163,2,0))</f>
        <v>0</v>
      </c>
      <c r="E30" s="33">
        <f>IF(VLOOKUP($C30,Mensual!$D$6:$G$163,3,0)&lt;0,0,VLOOKUP($C30,Mensual!$D$6:$G$163,3,0))</f>
        <v>1</v>
      </c>
      <c r="F30" s="33">
        <f>IF(VLOOKUP($C30,Mensual!$D$6:$G$163,4,0)&lt;0,0,VLOOKUP($C30,Mensual!$D$6:$G$163,4,0))</f>
        <v>1</v>
      </c>
    </row>
    <row r="31" spans="2:17" x14ac:dyDescent="0.25">
      <c r="B31" s="3">
        <v>0.05</v>
      </c>
      <c r="C31" s="15" t="s">
        <v>36</v>
      </c>
      <c r="D31" s="33">
        <f>IF(VLOOKUP($C31,Mensual!$D$6:$G$163,2,0)&lt;0,0,VLOOKUP($C31,Mensual!$D$6:$G$163,2,0))</f>
        <v>0</v>
      </c>
      <c r="E31" s="4">
        <f>IF(VLOOKUP($C31,Mensual!$D$6:$G$163,3,0)&lt;0,0,VLOOKUP($C31,Mensual!$D$6:$G$163,3,0))</f>
        <v>0.9</v>
      </c>
      <c r="F31" s="4">
        <f>IF(VLOOKUP($C31,Mensual!$D$6:$G$163,4,0)&lt;0,0,VLOOKUP($C31,Mensual!$D$6:$G$163,4,0))</f>
        <v>0.82</v>
      </c>
    </row>
    <row r="32" spans="2:17" x14ac:dyDescent="0.25">
      <c r="B32" s="3">
        <v>0.1</v>
      </c>
      <c r="C32" s="15" t="s">
        <v>37</v>
      </c>
      <c r="D32" s="33">
        <f>IF(VLOOKUP($C32,Mensual!$D$6:$G$163,2,0)&lt;0,0,VLOOKUP($C32,Mensual!$D$6:$G$163,2,0))</f>
        <v>0</v>
      </c>
      <c r="E32" s="33">
        <f>IF(VLOOKUP($C32,Mensual!$D$6:$G$163,3,0)&lt;0,0,VLOOKUP($C32,Mensual!$D$6:$G$163,3,0))</f>
        <v>3700</v>
      </c>
      <c r="F32" s="33">
        <f>IF(VLOOKUP($C32,Mensual!$D$6:$G$163,4,0)&lt;0,0,VLOOKUP($C32,Mensual!$D$6:$G$163,4,0))</f>
        <v>3932</v>
      </c>
    </row>
    <row r="33" spans="2:6" x14ac:dyDescent="0.25">
      <c r="B33" s="1">
        <f>SUM(B28:B32)</f>
        <v>1.0000000000000002</v>
      </c>
      <c r="C33" s="2"/>
      <c r="D33" s="1"/>
      <c r="E33" s="1"/>
      <c r="F33" s="1"/>
    </row>
  </sheetData>
  <mergeCells count="2">
    <mergeCell ref="D2:F2"/>
    <mergeCell ref="D3:F3"/>
  </mergeCells>
  <phoneticPr fontId="13" type="noConversion"/>
  <dataValidations count="1">
    <dataValidation type="list" allowBlank="1" showInputMessage="1" showErrorMessage="1" sqref="D2:F2" xr:uid="{00000000-0002-0000-0200-000000000000}">
      <formula1>INDIRECT(D3)</formula1>
    </dataValidation>
  </dataValidation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1000000}">
          <x14:formula1>
            <xm:f>Acumulado!$C$3:$C$661</xm:f>
          </x14:formula1>
          <xm:sqref>C6 C28</xm:sqref>
        </x14:dataValidation>
        <x14:dataValidation type="list" allowBlank="1" showInputMessage="1" showErrorMessage="1" xr:uid="{00000000-0002-0000-0200-000002000000}">
          <x14:formula1>
            <xm:f>Acumulado!$C$3:$C$131</xm:f>
          </x14:formula1>
          <xm:sqref>C7:C10 C29:C32</xm:sqref>
        </x14:dataValidation>
        <x14:dataValidation type="list" allowBlank="1" showInputMessage="1" showErrorMessage="1" xr:uid="{00000000-0002-0000-0200-000003000000}">
          <x14:formula1>
            <xm:f>Listados!$A$1:$L$1</xm:f>
          </x14:formula1>
          <xm:sqref>D3:F3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8"/>
  <sheetViews>
    <sheetView showGridLines="0" topLeftCell="D1" zoomScale="105" zoomScaleNormal="55" workbookViewId="0">
      <selection activeCell="J32" sqref="J32"/>
    </sheetView>
  </sheetViews>
  <sheetFormatPr baseColWidth="10" defaultColWidth="11.42578125" defaultRowHeight="15" x14ac:dyDescent="0.25"/>
  <cols>
    <col min="3" max="3" width="65.85546875" bestFit="1" customWidth="1"/>
    <col min="4" max="4" width="19.5703125" customWidth="1"/>
    <col min="5" max="5" width="13.85546875" bestFit="1" customWidth="1"/>
    <col min="6" max="6" width="12.85546875" bestFit="1" customWidth="1"/>
    <col min="7" max="7" width="11.42578125" customWidth="1"/>
    <col min="8" max="8" width="19.140625" customWidth="1"/>
    <col min="9" max="9" width="13.7109375" bestFit="1" customWidth="1"/>
  </cols>
  <sheetData>
    <row r="1" spans="1:21" x14ac:dyDescent="0.25">
      <c r="I1" s="38">
        <v>0.9</v>
      </c>
      <c r="J1" s="41"/>
    </row>
    <row r="2" spans="1:21" x14ac:dyDescent="0.25">
      <c r="I2" s="39" t="s">
        <v>1</v>
      </c>
      <c r="J2" s="42"/>
    </row>
    <row r="3" spans="1:21" x14ac:dyDescent="0.25">
      <c r="C3" s="7" t="s">
        <v>2</v>
      </c>
      <c r="D3" s="244" t="s">
        <v>39</v>
      </c>
      <c r="E3" s="244"/>
      <c r="F3" s="244"/>
      <c r="I3" s="39" t="s">
        <v>4</v>
      </c>
      <c r="J3" s="40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x14ac:dyDescent="0.25">
      <c r="A6">
        <f>+Mensual!B6</f>
        <v>4</v>
      </c>
      <c r="B6" s="3">
        <v>0.3</v>
      </c>
      <c r="C6" s="15" t="s">
        <v>7</v>
      </c>
      <c r="D6" s="33" t="str">
        <f>IF(VLOOKUP($C6,Mensual!$D$6:$G$163,2,0)&lt;0,0,VLOOKUP($C6,Mensual!$D$6:$G$163,2,0))</f>
        <v>RESULTADO SCORECARD</v>
      </c>
      <c r="E6" s="4">
        <f>IF(VLOOKUP($C6,Mensual!$D$6:$G$163,3,0)&lt;0,0,VLOOKUP($C6,Mensual!$D$6:$G$163,3,0))</f>
        <v>1</v>
      </c>
      <c r="F6" s="4">
        <f>IF(VLOOKUP($C6,Mensual!$D$6:$G$163,4,0)&lt;0,0,VLOOKUP($C6,Mensual!$D$6:$G$163,4,0))</f>
        <v>1.0325000000000002</v>
      </c>
      <c r="G6" s="4">
        <f>IF(VLOOKUP($C6,Mensual!$D$6:$H$163,5,0)&lt;0,0,VLOOKUP($C6,Mensual!$D$6:$H$163,5,0))</f>
        <v>1.0325000000000002</v>
      </c>
      <c r="H6" s="4">
        <f>+G6*B6</f>
        <v>0.30975000000000003</v>
      </c>
      <c r="I6" s="31">
        <f>+Mensual!J6</f>
        <v>0</v>
      </c>
      <c r="J6" s="31">
        <f>+Mensual!K6</f>
        <v>0</v>
      </c>
      <c r="K6" s="31">
        <f>+Mensual!L6</f>
        <v>0</v>
      </c>
      <c r="L6" s="31">
        <f>+Mensual!M6</f>
        <v>0</v>
      </c>
      <c r="M6" s="3"/>
      <c r="N6" s="3"/>
      <c r="O6" s="3"/>
      <c r="P6" s="3"/>
      <c r="Q6" s="3"/>
      <c r="R6" s="3"/>
      <c r="S6" s="3"/>
    </row>
    <row r="7" spans="1:21" x14ac:dyDescent="0.25">
      <c r="B7" s="3">
        <v>0.6</v>
      </c>
      <c r="C7" s="15" t="s">
        <v>35</v>
      </c>
      <c r="D7" s="33">
        <f>IF(VLOOKUP($C7,Mensual!$D$6:$G$135,2,0)&lt;0,0,VLOOKUP($C7,Mensual!$D$6:$G$135,2,0))</f>
        <v>0</v>
      </c>
      <c r="E7" s="33">
        <f>IF(VLOOKUP($C7,Mensual!$D$6:$G$163,3,0)&lt;0,0,VLOOKUP($C7,Mensual!$D$6:$G$163,3,0))</f>
        <v>1</v>
      </c>
      <c r="F7" s="33">
        <f>IF(VLOOKUP($C7,Mensual!$D$6:$G$163,4,0)&lt;0,0,VLOOKUP($C7,Mensual!$D$6:$G$163,4,0))</f>
        <v>1</v>
      </c>
      <c r="G7" s="4">
        <f>IF(VLOOKUP($C7,Mensual!$D$6:$H$163,5,0)&lt;0,0,VLOOKUP($C7,Mensual!$D$6:$H$163,5,0))</f>
        <v>1</v>
      </c>
      <c r="H7" s="4">
        <f t="shared" ref="H7:H8" si="0">+G7*B7</f>
        <v>0.6</v>
      </c>
      <c r="I7" s="36"/>
      <c r="J7" s="36"/>
      <c r="K7" s="36"/>
      <c r="L7" s="36"/>
      <c r="M7" s="1"/>
      <c r="N7" s="1"/>
      <c r="O7" s="1"/>
      <c r="P7" s="1"/>
      <c r="Q7" s="1"/>
      <c r="R7" s="1"/>
      <c r="S7" s="1"/>
    </row>
    <row r="8" spans="1:21" x14ac:dyDescent="0.25">
      <c r="B8" s="3">
        <v>0.1</v>
      </c>
      <c r="C8" s="15" t="s">
        <v>37</v>
      </c>
      <c r="D8" s="33"/>
      <c r="E8" s="33">
        <f>IF(VLOOKUP($C8,Mensual!$D$6:$G$163,3,0)&lt;0,0,VLOOKUP($C8,Mensual!$D$6:$G$163,3,0))</f>
        <v>3700</v>
      </c>
      <c r="F8" s="33">
        <f>IF(VLOOKUP($C8,Mensual!$D$6:$G$163,4,0)&lt;0,0,VLOOKUP($C8,Mensual!$D$6:$G$163,4,0))</f>
        <v>3932</v>
      </c>
      <c r="G8" s="4">
        <f>IF(VLOOKUP($C8,Mensual!$D$6:$H$163,5,0)&lt;0,0,VLOOKUP($C8,Mensual!$D$6:$H$163,5,0))</f>
        <v>1</v>
      </c>
      <c r="H8" s="4">
        <f t="shared" si="0"/>
        <v>0.1</v>
      </c>
      <c r="I8" s="36"/>
      <c r="J8" s="36"/>
      <c r="K8" s="36"/>
      <c r="L8" s="36"/>
      <c r="M8" s="1"/>
      <c r="N8" s="1"/>
      <c r="O8" s="1"/>
      <c r="P8" s="1"/>
      <c r="Q8" s="1"/>
      <c r="R8" s="1"/>
      <c r="S8" s="1"/>
    </row>
    <row r="9" spans="1:21" ht="21" x14ac:dyDescent="0.35">
      <c r="B9" s="1">
        <f>SUM(B6:B8)</f>
        <v>0.99999999999999989</v>
      </c>
      <c r="C9" s="2"/>
      <c r="D9" s="1"/>
      <c r="E9" s="1"/>
      <c r="F9" s="1"/>
      <c r="G9" s="1"/>
      <c r="H9" s="56">
        <f>SUM(H6:H8)</f>
        <v>1.0097500000000001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21" x14ac:dyDescent="0.25">
      <c r="C10" s="2"/>
    </row>
    <row r="13" spans="1:21" x14ac:dyDescent="0.25">
      <c r="C13" s="95" t="s">
        <v>40</v>
      </c>
    </row>
    <row r="14" spans="1:21" x14ac:dyDescent="0.25">
      <c r="C14" s="96" t="s">
        <v>41</v>
      </c>
    </row>
    <row r="15" spans="1:21" x14ac:dyDescent="0.25">
      <c r="C15" s="96" t="s">
        <v>42</v>
      </c>
    </row>
    <row r="16" spans="1:21" x14ac:dyDescent="0.25">
      <c r="C16" s="96"/>
    </row>
    <row r="17" spans="3:3" x14ac:dyDescent="0.25">
      <c r="C17" s="96"/>
    </row>
    <row r="18" spans="3:3" x14ac:dyDescent="0.25">
      <c r="C18" s="96"/>
    </row>
  </sheetData>
  <mergeCells count="1">
    <mergeCell ref="D3:F3"/>
  </mergeCells>
  <dataValidations count="1">
    <dataValidation type="list" allowBlank="1" showInputMessage="1" showErrorMessage="1" sqref="C14 C15 C16 C17 C18" xr:uid="{00000000-0002-0000-0300-000000000000}">
      <formula1>INDIRECT($D$3)</formula1>
    </dataValidation>
  </dataValidation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1000000}">
          <x14:formula1>
            <xm:f>Acumulado!$C$3:$C$661</xm:f>
          </x14:formula1>
          <xm:sqref>C6</xm:sqref>
        </x14:dataValidation>
        <x14:dataValidation type="list" allowBlank="1" showInputMessage="1" showErrorMessage="1" xr:uid="{00000000-0002-0000-0300-000002000000}">
          <x14:formula1>
            <xm:f>Acumulado!$C$3:$C$131</xm:f>
          </x14:formula1>
          <xm:sqref>C7:C8</xm:sqref>
        </x14:dataValidation>
        <x14:dataValidation type="list" allowBlank="1" showInputMessage="1" showErrorMessage="1" xr:uid="{00000000-0002-0000-0300-000003000000}">
          <x14:formula1>
            <xm:f>Listados!$A$1:$L$1</xm:f>
          </x14:formula1>
          <xm:sqref>D3:F3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1"/>
  <sheetViews>
    <sheetView showGridLines="0" zoomScale="105" zoomScaleNormal="55" workbookViewId="0">
      <selection activeCell="C14" sqref="C14"/>
    </sheetView>
  </sheetViews>
  <sheetFormatPr baseColWidth="10" defaultColWidth="11.42578125" defaultRowHeight="15" x14ac:dyDescent="0.25"/>
  <cols>
    <col min="3" max="3" width="65.85546875" bestFit="1" customWidth="1"/>
    <col min="4" max="4" width="19.5703125" customWidth="1"/>
    <col min="5" max="5" width="13.85546875" bestFit="1" customWidth="1"/>
    <col min="6" max="6" width="12.85546875" bestFit="1" customWidth="1"/>
    <col min="7" max="7" width="11.42578125" customWidth="1"/>
    <col min="8" max="8" width="19.140625" customWidth="1"/>
    <col min="9" max="9" width="13.7109375" bestFit="1" customWidth="1"/>
  </cols>
  <sheetData>
    <row r="1" spans="1:21" x14ac:dyDescent="0.25">
      <c r="I1" s="38">
        <v>0.9</v>
      </c>
      <c r="J1" s="41"/>
    </row>
    <row r="2" spans="1:21" x14ac:dyDescent="0.25">
      <c r="C2" s="14" t="s">
        <v>0</v>
      </c>
      <c r="D2" s="243" t="s">
        <v>43</v>
      </c>
      <c r="E2" s="243"/>
      <c r="F2" s="243"/>
      <c r="I2" s="39" t="s">
        <v>1</v>
      </c>
      <c r="J2" s="42"/>
    </row>
    <row r="3" spans="1:21" x14ac:dyDescent="0.25">
      <c r="C3" s="7" t="s">
        <v>2</v>
      </c>
      <c r="D3" s="244" t="s">
        <v>39</v>
      </c>
      <c r="E3" s="244"/>
      <c r="F3" s="244"/>
      <c r="I3" s="39" t="s">
        <v>4</v>
      </c>
      <c r="J3" s="40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x14ac:dyDescent="0.25">
      <c r="B6" s="3">
        <v>0.25</v>
      </c>
      <c r="C6" s="15" t="s">
        <v>7</v>
      </c>
      <c r="D6" s="33" t="str">
        <f>IF(VLOOKUP($C6,Mensual!$D$6:$G$163,2,0)&lt;0,0,VLOOKUP($C6,Mensual!$D$6:$G$163,2,0))</f>
        <v>RESULTADO SCORECARD</v>
      </c>
      <c r="E6" s="4">
        <f>IF(VLOOKUP($C6,Mensual!$D$6:$G$163,3,0)&lt;0,0,VLOOKUP($C6,Mensual!$D$6:$G$163,3,0))</f>
        <v>1</v>
      </c>
      <c r="F6" s="4">
        <f>IF(VLOOKUP($C6,Mensual!$D$6:$G$163,4,0)&lt;0,0,VLOOKUP($C6,Mensual!$D$6:$G$163,4,0))</f>
        <v>1.0325000000000002</v>
      </c>
      <c r="G6" s="4">
        <f>IF(VLOOKUP($C6,Mensual!$D$6:$H$163,5,0)&lt;0,0,VLOOKUP($C6,Mensual!$D$6:$H$163,5,0))</f>
        <v>1.0325000000000002</v>
      </c>
      <c r="H6" s="4">
        <f>+G6*B6</f>
        <v>0.25812500000000005</v>
      </c>
      <c r="I6" s="31">
        <f>+Mensual!J6</f>
        <v>0</v>
      </c>
      <c r="J6" s="31">
        <f>+Mensual!K6</f>
        <v>0</v>
      </c>
      <c r="K6" s="31">
        <f>+Mensual!L6</f>
        <v>0</v>
      </c>
      <c r="L6" s="31">
        <f>+Mensual!M6</f>
        <v>0</v>
      </c>
      <c r="M6" s="3"/>
      <c r="N6" s="3"/>
      <c r="O6" s="3"/>
      <c r="P6" s="3"/>
      <c r="Q6" s="3"/>
      <c r="R6" s="3"/>
      <c r="S6" s="3"/>
    </row>
    <row r="7" spans="1:21" x14ac:dyDescent="0.25">
      <c r="B7" s="3">
        <v>0.05</v>
      </c>
      <c r="C7" s="15" t="s">
        <v>34</v>
      </c>
      <c r="D7" s="33">
        <f>IF(VLOOKUP($C7,Mensual!$D$6:$G$135,2,0)&lt;0,0,VLOOKUP($C7,Mensual!$D$6:$G$135,2,0))</f>
        <v>0</v>
      </c>
      <c r="E7" s="4">
        <f>IF(VLOOKUP($C7,Mensual!$D$6:$G$163,3,0)&lt;0,0,VLOOKUP($C7,Mensual!$D$6:$G$163,3,0))</f>
        <v>1</v>
      </c>
      <c r="F7" s="4">
        <f>IF(VLOOKUP($C7,Mensual!$D$6:$G$163,4,0)&lt;0,0,VLOOKUP($C7,Mensual!$D$6:$G$163,4,0))</f>
        <v>1</v>
      </c>
      <c r="G7" s="4">
        <f>IF(VLOOKUP($C7,Mensual!$D$6:$H$163,5,0)&lt;0,0,VLOOKUP($C7,Mensual!$D$6:$H$163,5,0))</f>
        <v>1</v>
      </c>
      <c r="H7" s="4">
        <f t="shared" ref="H7:H10" si="0">+G7*B7</f>
        <v>0.05</v>
      </c>
      <c r="I7" s="36"/>
      <c r="J7" s="36"/>
      <c r="K7" s="36"/>
      <c r="L7" s="36"/>
      <c r="M7" s="1"/>
      <c r="N7" s="1"/>
      <c r="O7" s="1"/>
      <c r="P7" s="1"/>
      <c r="Q7" s="1"/>
      <c r="R7" s="1"/>
      <c r="S7" s="1"/>
    </row>
    <row r="8" spans="1:21" x14ac:dyDescent="0.25">
      <c r="B8" s="3">
        <v>0.05</v>
      </c>
      <c r="C8" s="15" t="s">
        <v>37</v>
      </c>
      <c r="D8" s="33">
        <f>IF(VLOOKUP($C8,Mensual!$D$6:$G$135,2,0)&lt;0,0,VLOOKUP($C8,Mensual!$D$6:$G$135,2,0))</f>
        <v>0</v>
      </c>
      <c r="E8" s="55">
        <f>IF(VLOOKUP($C8,Mensual!$D$6:$G$163,3,0)&lt;0,0,VLOOKUP($C8,Mensual!$D$6:$G$163,3,0))</f>
        <v>3700</v>
      </c>
      <c r="F8" s="55">
        <f>IF(VLOOKUP($C8,Mensual!$D$6:$G$163,4,0)&lt;0,0,VLOOKUP($C8,Mensual!$D$6:$G$163,4,0))</f>
        <v>3932</v>
      </c>
      <c r="G8" s="4">
        <f>IF(VLOOKUP($C8,Mensual!$D$6:$H$163,5,0)&lt;0,0,VLOOKUP($C8,Mensual!$D$6:$H$163,5,0))</f>
        <v>1</v>
      </c>
      <c r="H8" s="4">
        <f t="shared" ref="H8:H9" si="1">+G8*B8</f>
        <v>0.05</v>
      </c>
      <c r="I8" s="36"/>
      <c r="J8" s="36"/>
      <c r="K8" s="36"/>
      <c r="L8" s="36"/>
      <c r="M8" s="1"/>
      <c r="N8" s="1"/>
      <c r="O8" s="1"/>
      <c r="P8" s="1"/>
      <c r="Q8" s="1"/>
      <c r="R8" s="1"/>
      <c r="S8" s="1"/>
    </row>
    <row r="9" spans="1:21" x14ac:dyDescent="0.25">
      <c r="B9" s="3">
        <v>0.1</v>
      </c>
      <c r="C9" s="15" t="s">
        <v>44</v>
      </c>
      <c r="D9" s="33">
        <f>IF(VLOOKUP($C9,Mensual!$D$6:$G$135,2,0)&lt;0,0,VLOOKUP($C9,Mensual!$D$6:$G$135,2,0))</f>
        <v>0</v>
      </c>
      <c r="E9" s="4">
        <f>IF(VLOOKUP($C9,Mensual!$D$6:$G$163,3,0)&lt;0,0,VLOOKUP($C9,Mensual!$D$6:$G$163,3,0))</f>
        <v>0.1</v>
      </c>
      <c r="F9" s="4">
        <f>IF(VLOOKUP($C9,Mensual!$D$6:$G$163,4,0)&lt;0,0,VLOOKUP($C9,Mensual!$D$6:$G$163,4,0))</f>
        <v>0.1</v>
      </c>
      <c r="G9" s="4">
        <f>IF(VLOOKUP($C9,Mensual!$D$6:$H$163,5,0)&lt;0,0,VLOOKUP($C9,Mensual!$D$6:$H$163,5,0))</f>
        <v>1</v>
      </c>
      <c r="H9" s="4">
        <f t="shared" si="1"/>
        <v>0.1</v>
      </c>
      <c r="I9" s="36"/>
      <c r="J9" s="36"/>
      <c r="K9" s="36"/>
      <c r="L9" s="36"/>
      <c r="M9" s="1"/>
      <c r="N9" s="1"/>
      <c r="O9" s="1"/>
      <c r="P9" s="1"/>
      <c r="Q9" s="1"/>
      <c r="R9" s="1"/>
      <c r="S9" s="1"/>
    </row>
    <row r="10" spans="1:21" x14ac:dyDescent="0.25">
      <c r="B10" s="3">
        <v>0.55000000000000004</v>
      </c>
      <c r="C10" s="15" t="s">
        <v>45</v>
      </c>
      <c r="D10" s="33">
        <f>IF(VLOOKUP($C10,Mensual!$D$6:$G$135,2,0)&lt;0,0,VLOOKUP($C10,Mensual!$D$6:$G$135,2,0))</f>
        <v>0</v>
      </c>
      <c r="E10" s="33">
        <f>IF(VLOOKUP($C10,Mensual!$D$6:$G$163,3,0)&lt;0,0,VLOOKUP($C10,Mensual!$D$6:$G$163,3,0))</f>
        <v>4</v>
      </c>
      <c r="F10" s="33">
        <f>IF(VLOOKUP($C10,Mensual!$D$6:$G$163,4,0)&lt;0,0,VLOOKUP($C10,Mensual!$D$6:$G$163,4,0))</f>
        <v>6</v>
      </c>
      <c r="G10" s="4">
        <f>IF(VLOOKUP($C10,Mensual!$D$6:$H$163,5,0)&lt;0,0,VLOOKUP($C10,Mensual!$D$6:$H$163,5,0))</f>
        <v>1</v>
      </c>
      <c r="H10" s="4">
        <f t="shared" si="0"/>
        <v>0.55000000000000004</v>
      </c>
      <c r="I10" s="36"/>
      <c r="J10" s="36"/>
      <c r="K10" s="36"/>
      <c r="L10" s="36"/>
      <c r="M10" s="1"/>
      <c r="N10" s="1"/>
      <c r="O10" s="1"/>
      <c r="P10" s="1"/>
      <c r="Q10" s="1"/>
      <c r="R10" s="1"/>
      <c r="S10" s="1"/>
    </row>
    <row r="11" spans="1:21" x14ac:dyDescent="0.25">
      <c r="B11" s="1">
        <f>SUM(B6:B10)</f>
        <v>1</v>
      </c>
      <c r="C11" s="2"/>
      <c r="D11" s="1"/>
      <c r="E11" s="1"/>
      <c r="F11" s="1"/>
      <c r="G11" s="1"/>
      <c r="H11" s="35">
        <f>SUM(H6:H10)</f>
        <v>1.0081250000000002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21" x14ac:dyDescent="0.25">
      <c r="C12" s="2"/>
    </row>
    <row r="21" spans="3:3" x14ac:dyDescent="0.25">
      <c r="C21" t="s">
        <v>38</v>
      </c>
    </row>
  </sheetData>
  <mergeCells count="2">
    <mergeCell ref="D2:F2"/>
    <mergeCell ref="D3:F3"/>
  </mergeCells>
  <dataValidations count="1">
    <dataValidation type="list" allowBlank="1" showInputMessage="1" showErrorMessage="1" sqref="D2:F2" xr:uid="{00000000-0002-0000-0400-000000000000}">
      <formula1>INDIRECT(D3)</formula1>
    </dataValidation>
  </dataValidation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1000000}">
          <x14:formula1>
            <xm:f>Acumulado!$C$3:$C$661</xm:f>
          </x14:formula1>
          <xm:sqref>C6</xm:sqref>
        </x14:dataValidation>
        <x14:dataValidation type="list" allowBlank="1" showInputMessage="1" showErrorMessage="1" xr:uid="{00000000-0002-0000-0400-000002000000}">
          <x14:formula1>
            <xm:f>Acumulado!$C$3:$C$131</xm:f>
          </x14:formula1>
          <xm:sqref>C7:C10</xm:sqref>
        </x14:dataValidation>
        <x14:dataValidation type="list" allowBlank="1" showInputMessage="1" showErrorMessage="1" xr:uid="{00000000-0002-0000-0400-000003000000}">
          <x14:formula1>
            <xm:f>Listados!$A$1:$L$1</xm:f>
          </x14:formula1>
          <xm:sqref>D3:F3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1"/>
  <sheetViews>
    <sheetView showGridLines="0" zoomScaleNormal="100" workbookViewId="0">
      <selection activeCell="C17" sqref="C17"/>
    </sheetView>
  </sheetViews>
  <sheetFormatPr baseColWidth="10" defaultColWidth="11.42578125" defaultRowHeight="15" x14ac:dyDescent="0.25"/>
  <cols>
    <col min="3" max="3" width="65.85546875" bestFit="1" customWidth="1"/>
    <col min="4" max="4" width="19.5703125" customWidth="1"/>
    <col min="5" max="5" width="13.85546875" bestFit="1" customWidth="1"/>
    <col min="6" max="6" width="12.85546875" bestFit="1" customWidth="1"/>
    <col min="7" max="7" width="11.42578125" customWidth="1"/>
    <col min="8" max="8" width="19.140625" customWidth="1"/>
    <col min="9" max="9" width="13.7109375" bestFit="1" customWidth="1"/>
  </cols>
  <sheetData>
    <row r="1" spans="1:21" x14ac:dyDescent="0.25">
      <c r="I1" s="38">
        <v>0.9</v>
      </c>
      <c r="J1" s="41"/>
    </row>
    <row r="2" spans="1:21" x14ac:dyDescent="0.25">
      <c r="C2" s="14" t="s">
        <v>0</v>
      </c>
      <c r="D2" s="243" t="s">
        <v>46</v>
      </c>
      <c r="E2" s="243"/>
      <c r="F2" s="243"/>
      <c r="I2" s="39" t="s">
        <v>1</v>
      </c>
      <c r="J2" s="42"/>
    </row>
    <row r="3" spans="1:21" x14ac:dyDescent="0.25">
      <c r="C3" s="7" t="s">
        <v>2</v>
      </c>
      <c r="D3" s="244" t="s">
        <v>39</v>
      </c>
      <c r="E3" s="244"/>
      <c r="F3" s="244"/>
      <c r="I3" s="39" t="s">
        <v>4</v>
      </c>
      <c r="J3" s="40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x14ac:dyDescent="0.25">
      <c r="A6">
        <f>+Mensual!B6</f>
        <v>4</v>
      </c>
      <c r="B6" s="3">
        <v>0.25</v>
      </c>
      <c r="C6" s="15" t="s">
        <v>7</v>
      </c>
      <c r="D6" s="33" t="str">
        <f>IF(VLOOKUP($C6,Mensual!$D$6:$G$163,2,0)&lt;0,0,VLOOKUP($C6,Mensual!$D$6:$G$163,2,0))</f>
        <v>RESULTADO SCORECARD</v>
      </c>
      <c r="E6" s="4">
        <f>IF(VLOOKUP($C6,Mensual!$D$6:$G$163,3,0)&lt;0,0,VLOOKUP($C6,Mensual!$D$6:$G$163,3,0))</f>
        <v>1</v>
      </c>
      <c r="F6" s="4">
        <f>IF(VLOOKUP($C6,Mensual!$D$6:$G$163,4,0)&lt;0,0,VLOOKUP($C6,Mensual!$D$6:$G$163,4,0))</f>
        <v>1.0325000000000002</v>
      </c>
      <c r="G6" s="4">
        <f>IF(VLOOKUP($C6,Mensual!$D$6:$H$163,5,0)&lt;0,0,VLOOKUP($C6,Mensual!$D$6:$H$163,5,0))</f>
        <v>1.0325000000000002</v>
      </c>
      <c r="H6" s="4">
        <f>+G6*B6</f>
        <v>0.25812500000000005</v>
      </c>
      <c r="I6" s="31">
        <f>+Mensual!J6</f>
        <v>0</v>
      </c>
      <c r="J6" s="31">
        <f>+Mensual!K6</f>
        <v>0</v>
      </c>
      <c r="K6" s="31">
        <f>+Mensual!L6</f>
        <v>0</v>
      </c>
      <c r="L6" s="31">
        <f>+Mensual!M6</f>
        <v>0</v>
      </c>
      <c r="M6" s="3"/>
      <c r="N6" s="3"/>
      <c r="O6" s="3"/>
      <c r="P6" s="3"/>
      <c r="Q6" s="3"/>
      <c r="R6" s="3"/>
      <c r="S6" s="3"/>
    </row>
    <row r="7" spans="1:21" x14ac:dyDescent="0.25">
      <c r="B7" s="3">
        <v>0.05</v>
      </c>
      <c r="C7" s="15" t="s">
        <v>34</v>
      </c>
      <c r="D7" s="33">
        <f>IF(VLOOKUP($C7,Mensual!$D$6:$G$135,2,0)&lt;0,0,VLOOKUP($C7,Mensual!$D$6:$G$135,2,0))</f>
        <v>0</v>
      </c>
      <c r="E7" s="4">
        <f>IF(VLOOKUP($C7,Mensual!$D$6:$G$163,3,0)&lt;0,0,VLOOKUP($C7,Mensual!$D$6:$G$163,3,0))</f>
        <v>1</v>
      </c>
      <c r="F7" s="4">
        <f>IF(VLOOKUP($C7,Mensual!$D$6:$G$163,4,0)&lt;0,0,VLOOKUP($C7,Mensual!$D$6:$G$163,4,0))</f>
        <v>1</v>
      </c>
      <c r="G7" s="4">
        <f>IF(VLOOKUP($C7,Mensual!$D$6:$H$163,5,0)&lt;0,0,VLOOKUP($C7,Mensual!$D$6:$H$163,5,0))</f>
        <v>1</v>
      </c>
      <c r="H7" s="4">
        <f t="shared" ref="H7:H10" si="0">+G7*B7</f>
        <v>0.05</v>
      </c>
      <c r="I7" s="36"/>
      <c r="J7" s="36"/>
      <c r="K7" s="36"/>
      <c r="L7" s="36"/>
      <c r="M7" s="1"/>
      <c r="N7" s="1"/>
      <c r="O7" s="1"/>
      <c r="P7" s="1"/>
      <c r="Q7" s="1"/>
      <c r="R7" s="1"/>
      <c r="S7" s="1"/>
    </row>
    <row r="8" spans="1:21" x14ac:dyDescent="0.25">
      <c r="B8" s="3">
        <v>0.1</v>
      </c>
      <c r="C8" s="15" t="s">
        <v>47</v>
      </c>
      <c r="D8" s="33" t="str">
        <f>IF(VLOOKUP($C8,Mensual!$D$6:$G$135,2,0)&lt;0,0,VLOOKUP($C8,Mensual!$D$6:$G$135,2,0))</f>
        <v>Unidad instaladas / mensuales</v>
      </c>
      <c r="E8" s="33">
        <f>IF(VLOOKUP($C8,Mensual!$D$6:$G$163,3,0)&lt;0,0,VLOOKUP($C8,Mensual!$D$6:$G$163,3,0))</f>
        <v>10</v>
      </c>
      <c r="F8" s="33">
        <f>IF(VLOOKUP($C8,Mensual!$D$6:$G$163,4,0)&lt;0,0,VLOOKUP($C8,Mensual!$D$6:$G$163,4,0))</f>
        <v>0</v>
      </c>
      <c r="G8" s="4">
        <f>IF(VLOOKUP($C8,Mensual!$D$6:$H$163,5,0)&lt;0,0,VLOOKUP($C8,Mensual!$D$6:$H$163,5,0))</f>
        <v>0</v>
      </c>
      <c r="H8" s="4">
        <f t="shared" ref="H8:H9" si="1">+G8*B8</f>
        <v>0</v>
      </c>
      <c r="I8" s="36"/>
      <c r="J8" s="36"/>
      <c r="K8" s="36"/>
      <c r="L8" s="36"/>
      <c r="M8" s="1"/>
      <c r="N8" s="1"/>
      <c r="O8" s="1"/>
      <c r="P8" s="1"/>
      <c r="Q8" s="1"/>
      <c r="R8" s="1"/>
      <c r="S8" s="1"/>
    </row>
    <row r="9" spans="1:21" x14ac:dyDescent="0.25">
      <c r="B9" s="3">
        <v>0.5</v>
      </c>
      <c r="C9" s="15" t="s">
        <v>36</v>
      </c>
      <c r="D9" s="33">
        <f>IF(VLOOKUP($C9,Mensual!$D$6:$G$135,2,0)&lt;0,0,VLOOKUP($C9,Mensual!$D$6:$G$135,2,0))</f>
        <v>0</v>
      </c>
      <c r="E9" s="4">
        <f>IF(VLOOKUP($C9,Mensual!$D$6:$G$163,3,0)&lt;0,0,VLOOKUP($C9,Mensual!$D$6:$G$163,3,0))</f>
        <v>0.9</v>
      </c>
      <c r="F9" s="4">
        <f>IF(VLOOKUP($C9,Mensual!$D$6:$G$163,4,0)&lt;0,0,VLOOKUP($C9,Mensual!$D$6:$G$163,4,0))</f>
        <v>0.82</v>
      </c>
      <c r="G9" s="4">
        <f>IF(VLOOKUP($C9,Mensual!$D$6:$H$163,5,0)&lt;0,0,VLOOKUP($C9,Mensual!$D$6:$H$163,5,0))</f>
        <v>0.91111111111111098</v>
      </c>
      <c r="H9" s="4">
        <f t="shared" si="1"/>
        <v>0.45555555555555549</v>
      </c>
      <c r="I9" s="36"/>
      <c r="J9" s="36"/>
      <c r="K9" s="36"/>
      <c r="L9" s="36"/>
      <c r="M9" s="1"/>
      <c r="N9" s="1"/>
      <c r="O9" s="1"/>
      <c r="P9" s="1"/>
      <c r="Q9" s="1"/>
      <c r="R9" s="1"/>
      <c r="S9" s="1"/>
    </row>
    <row r="10" spans="1:21" x14ac:dyDescent="0.25">
      <c r="B10" s="3">
        <v>0.1</v>
      </c>
      <c r="C10" s="15" t="s">
        <v>48</v>
      </c>
      <c r="D10" s="33" t="str">
        <f>IF(VLOOKUP($C10,Mensual!$D$6:$G$135,2,0)&lt;0,0,VLOOKUP($C10,Mensual!$D$6:$G$135,2,0))</f>
        <v>$</v>
      </c>
      <c r="E10" s="118">
        <f>IF(VLOOKUP($C10,Mensual!$D$6:$G$163,3,0)&lt;0,0,VLOOKUP($C10,Mensual!$D$6:$G$163,3,0))</f>
        <v>8</v>
      </c>
      <c r="F10" s="118">
        <f>IF(VLOOKUP($C10,Mensual!$D$6:$G$163,4,0)&lt;0,0,VLOOKUP($C10,Mensual!$D$6:$G$163,4,0))</f>
        <v>4.71</v>
      </c>
      <c r="G10" s="4">
        <f>IF(VLOOKUP($C10,Mensual!$D$6:$H$163,5,0)&lt;0,0,VLOOKUP($C10,Mensual!$D$6:$H$163,5,0))</f>
        <v>1</v>
      </c>
      <c r="H10" s="4">
        <f t="shared" si="0"/>
        <v>0.1</v>
      </c>
      <c r="I10" s="36"/>
      <c r="J10" s="36"/>
      <c r="K10" s="36"/>
      <c r="L10" s="36"/>
      <c r="M10" s="1"/>
      <c r="N10" s="1"/>
      <c r="O10" s="1"/>
      <c r="P10" s="1"/>
      <c r="Q10" s="1"/>
      <c r="R10" s="1"/>
      <c r="S10" s="1"/>
    </row>
    <row r="11" spans="1:21" x14ac:dyDescent="0.25">
      <c r="B11" s="1">
        <f>SUM(B6:B10)</f>
        <v>1</v>
      </c>
      <c r="C11" s="2"/>
      <c r="D11" s="1"/>
      <c r="E11" s="1"/>
      <c r="F11" s="1"/>
      <c r="G11" s="1"/>
      <c r="H11" s="54">
        <f>SUM(H6:H10)</f>
        <v>0.86368055555555545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21" x14ac:dyDescent="0.25">
      <c r="C12" s="2"/>
    </row>
    <row r="21" spans="6:6" x14ac:dyDescent="0.25">
      <c r="F21" s="52"/>
    </row>
  </sheetData>
  <mergeCells count="2">
    <mergeCell ref="D2:F2"/>
    <mergeCell ref="D3:F3"/>
  </mergeCells>
  <dataValidations count="1">
    <dataValidation type="list" allowBlank="1" showInputMessage="1" showErrorMessage="1" sqref="D2:F2" xr:uid="{00000000-0002-0000-0500-000000000000}">
      <formula1>INDIRECT(D3)</formula1>
    </dataValidation>
  </dataValidation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1000000}">
          <x14:formula1>
            <xm:f>Acumulado!$C$3:$C$661</xm:f>
          </x14:formula1>
          <xm:sqref>C6</xm:sqref>
        </x14:dataValidation>
        <x14:dataValidation type="list" allowBlank="1" showInputMessage="1" showErrorMessage="1" xr:uid="{00000000-0002-0000-0500-000002000000}">
          <x14:formula1>
            <xm:f>Acumulado!$C$3:$C$131</xm:f>
          </x14:formula1>
          <xm:sqref>C7:C10</xm:sqref>
        </x14:dataValidation>
        <x14:dataValidation type="list" allowBlank="1" showInputMessage="1" showErrorMessage="1" xr:uid="{00000000-0002-0000-0500-000003000000}">
          <x14:formula1>
            <xm:f>Listados!$A$1:$L$1</xm:f>
          </x14:formula1>
          <xm:sqref>D3:F3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"/>
  <sheetViews>
    <sheetView showGridLines="0" zoomScale="105" zoomScaleNormal="55" workbookViewId="0">
      <selection activeCell="C25" sqref="C25"/>
    </sheetView>
  </sheetViews>
  <sheetFormatPr baseColWidth="10" defaultColWidth="11.42578125" defaultRowHeight="15" x14ac:dyDescent="0.25"/>
  <cols>
    <col min="3" max="3" width="65.85546875" bestFit="1" customWidth="1"/>
    <col min="4" max="4" width="19.5703125" customWidth="1"/>
    <col min="5" max="5" width="13.85546875" bestFit="1" customWidth="1"/>
    <col min="6" max="6" width="12.85546875" bestFit="1" customWidth="1"/>
    <col min="7" max="7" width="11.42578125" customWidth="1"/>
    <col min="8" max="8" width="19.140625" customWidth="1"/>
    <col min="9" max="9" width="13.7109375" bestFit="1" customWidth="1"/>
  </cols>
  <sheetData>
    <row r="1" spans="1:21" x14ac:dyDescent="0.25">
      <c r="I1" s="38">
        <v>0.9</v>
      </c>
      <c r="J1" s="41"/>
    </row>
    <row r="2" spans="1:21" x14ac:dyDescent="0.25">
      <c r="C2" s="14" t="s">
        <v>0</v>
      </c>
      <c r="D2" s="243" t="s">
        <v>49</v>
      </c>
      <c r="E2" s="243"/>
      <c r="F2" s="243"/>
      <c r="I2" s="39" t="s">
        <v>1</v>
      </c>
      <c r="J2" s="42"/>
    </row>
    <row r="3" spans="1:21" x14ac:dyDescent="0.25">
      <c r="C3" s="7" t="s">
        <v>2</v>
      </c>
      <c r="D3" s="244" t="s">
        <v>39</v>
      </c>
      <c r="E3" s="244"/>
      <c r="F3" s="244"/>
      <c r="I3" s="39" t="s">
        <v>4</v>
      </c>
      <c r="J3" s="40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x14ac:dyDescent="0.25">
      <c r="A6">
        <f>+Mensual!B6</f>
        <v>4</v>
      </c>
      <c r="B6" s="3">
        <v>0.25</v>
      </c>
      <c r="C6" s="15" t="s">
        <v>7</v>
      </c>
      <c r="D6" s="33" t="str">
        <f>IF(VLOOKUP($C6,Mensual!$D$6:$G$163,2,0)&lt;0,0,VLOOKUP($C6,Mensual!$D$6:$G$163,2,0))</f>
        <v>RESULTADO SCORECARD</v>
      </c>
      <c r="E6" s="4">
        <f>IF(VLOOKUP($C6,Mensual!$D$6:$G$163,3,0)&lt;0,0,VLOOKUP($C6,Mensual!$D$6:$G$163,3,0))</f>
        <v>1</v>
      </c>
      <c r="F6" s="4">
        <f>IF(VLOOKUP($C6,Mensual!$D$6:$G$163,4,0)&lt;0,0,VLOOKUP($C6,Mensual!$D$6:$G$163,4,0))</f>
        <v>1.0325000000000002</v>
      </c>
      <c r="G6" s="4">
        <f>IF(VLOOKUP($C6,Mensual!$D$6:$H$163,5,0)&lt;0,0,VLOOKUP($C6,Mensual!$D$6:$H$163,5,0))</f>
        <v>1.0325000000000002</v>
      </c>
      <c r="H6" s="4">
        <f>+G6*B6</f>
        <v>0.25812500000000005</v>
      </c>
      <c r="I6" s="31">
        <f>+Mensual!J6</f>
        <v>0</v>
      </c>
      <c r="J6" s="31">
        <f>+Mensual!K6</f>
        <v>0</v>
      </c>
      <c r="K6" s="31">
        <f>+Mensual!L6</f>
        <v>0</v>
      </c>
      <c r="L6" s="31">
        <f>+Mensual!M6</f>
        <v>0</v>
      </c>
      <c r="M6" s="3"/>
      <c r="N6" s="3"/>
      <c r="O6" s="3"/>
      <c r="P6" s="3"/>
      <c r="Q6" s="3"/>
      <c r="R6" s="3"/>
      <c r="S6" s="3"/>
    </row>
    <row r="7" spans="1:21" x14ac:dyDescent="0.25">
      <c r="B7" s="3">
        <v>0.15</v>
      </c>
      <c r="C7" s="15" t="s">
        <v>18</v>
      </c>
      <c r="D7" s="33">
        <f>IF(VLOOKUP($C7,Mensual!$D$6:$G$135,2,0)&lt;0,0,VLOOKUP($C7,Mensual!$D$6:$G$135,2,0))</f>
        <v>0</v>
      </c>
      <c r="E7" s="4">
        <f>IF(VLOOKUP($C7,Mensual!$D$6:$G$163,3,0)&lt;0,0,VLOOKUP($C7,Mensual!$D$6:$G$163,3,0))</f>
        <v>0.1</v>
      </c>
      <c r="F7" s="4">
        <f>IF(VLOOKUP($C7,Mensual!$D$6:$G$163,4,0)&lt;0,0,VLOOKUP($C7,Mensual!$D$6:$G$163,4,0))</f>
        <v>0.1</v>
      </c>
      <c r="G7" s="4">
        <f>IF(VLOOKUP($C7,Mensual!$D$6:$H$163,5,0)&lt;0,0,VLOOKUP($C7,Mensual!$D$6:$H$163,5,0))</f>
        <v>1</v>
      </c>
      <c r="H7" s="4">
        <f t="shared" ref="H7" si="0">+G7*B7</f>
        <v>0.15</v>
      </c>
      <c r="I7" s="36"/>
      <c r="J7" s="36"/>
      <c r="K7" s="36"/>
      <c r="L7" s="36"/>
      <c r="M7" s="1"/>
      <c r="N7" s="1"/>
      <c r="O7" s="1"/>
      <c r="P7" s="1"/>
      <c r="Q7" s="1"/>
      <c r="R7" s="1"/>
      <c r="S7" s="1"/>
    </row>
    <row r="8" spans="1:21" x14ac:dyDescent="0.25">
      <c r="B8" s="3">
        <v>0.6</v>
      </c>
      <c r="C8" s="15" t="s">
        <v>34</v>
      </c>
      <c r="D8" s="33">
        <f>IF(VLOOKUP($C8,Mensual!$D$6:$G$135,2,0)&lt;0,0,VLOOKUP($C8,Mensual!$D$6:$G$135,2,0))</f>
        <v>0</v>
      </c>
      <c r="E8" s="4">
        <f>IF(VLOOKUP($C8,Mensual!$D$6:$G$163,3,0)&lt;0,0,VLOOKUP($C8,Mensual!$D$6:$G$163,3,0))</f>
        <v>1</v>
      </c>
      <c r="F8" s="4">
        <f>IF(VLOOKUP($C8,Mensual!$D$6:$G$163,4,0)&lt;0,0,VLOOKUP($C8,Mensual!$D$6:$G$163,4,0))</f>
        <v>1</v>
      </c>
      <c r="G8" s="4">
        <f>IF(VLOOKUP($C8,Mensual!$D$6:$H$163,5,0)&lt;0,0,VLOOKUP($C8,Mensual!$D$6:$H$163,5,0))</f>
        <v>1</v>
      </c>
      <c r="H8" s="4">
        <f t="shared" ref="H8" si="1">+G8*B8</f>
        <v>0.6</v>
      </c>
      <c r="I8" s="36"/>
      <c r="J8" s="36"/>
      <c r="K8" s="36"/>
      <c r="L8" s="36"/>
      <c r="M8" s="1"/>
      <c r="N8" s="1"/>
      <c r="O8" s="1"/>
      <c r="P8" s="1"/>
      <c r="Q8" s="1"/>
      <c r="R8" s="1"/>
      <c r="S8" s="1"/>
    </row>
    <row r="9" spans="1:21" x14ac:dyDescent="0.25">
      <c r="B9" s="1">
        <f>SUM(B6:B8)</f>
        <v>1</v>
      </c>
      <c r="C9" s="2"/>
      <c r="D9" s="1"/>
      <c r="E9" s="1"/>
      <c r="F9" s="1"/>
      <c r="G9" s="1"/>
      <c r="H9" s="54">
        <f>SUM(H6:H8)</f>
        <v>1.0081250000000002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21" x14ac:dyDescent="0.25">
      <c r="C10" s="2"/>
    </row>
  </sheetData>
  <mergeCells count="2">
    <mergeCell ref="D2:F2"/>
    <mergeCell ref="D3:F3"/>
  </mergeCells>
  <dataValidations count="1">
    <dataValidation type="list" allowBlank="1" showInputMessage="1" showErrorMessage="1" sqref="D2:F2" xr:uid="{00000000-0002-0000-0600-000000000000}">
      <formula1>INDIRECT(D3)</formula1>
    </dataValidation>
  </dataValidation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1000000}">
          <x14:formula1>
            <xm:f>Acumulado!$C$3:$C$131</xm:f>
          </x14:formula1>
          <xm:sqref>C7:C8</xm:sqref>
        </x14:dataValidation>
        <x14:dataValidation type="list" allowBlank="1" showInputMessage="1" showErrorMessage="1" xr:uid="{00000000-0002-0000-0600-000002000000}">
          <x14:formula1>
            <xm:f>Acumulado!$C$3:$C$661</xm:f>
          </x14:formula1>
          <xm:sqref>C6</xm:sqref>
        </x14:dataValidation>
        <x14:dataValidation type="list" allowBlank="1" showInputMessage="1" showErrorMessage="1" xr:uid="{00000000-0002-0000-0600-000003000000}">
          <x14:formula1>
            <xm:f>Listados!$A$1:$L$1</xm:f>
          </x14:formula1>
          <xm:sqref>D3:F3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1"/>
  <sheetViews>
    <sheetView showGridLines="0" zoomScaleNormal="100" workbookViewId="0">
      <selection activeCell="C9" sqref="C9"/>
    </sheetView>
  </sheetViews>
  <sheetFormatPr baseColWidth="10" defaultColWidth="11.42578125" defaultRowHeight="15" x14ac:dyDescent="0.25"/>
  <cols>
    <col min="3" max="3" width="65.85546875" bestFit="1" customWidth="1"/>
    <col min="4" max="4" width="19.5703125" customWidth="1"/>
    <col min="5" max="5" width="13.85546875" bestFit="1" customWidth="1"/>
    <col min="6" max="6" width="12.85546875" bestFit="1" customWidth="1"/>
    <col min="7" max="7" width="11.42578125" customWidth="1"/>
    <col min="8" max="8" width="19.140625" customWidth="1"/>
    <col min="9" max="9" width="13.7109375" bestFit="1" customWidth="1"/>
  </cols>
  <sheetData>
    <row r="1" spans="1:21" x14ac:dyDescent="0.25">
      <c r="I1" s="38">
        <v>0.9</v>
      </c>
      <c r="J1" s="41"/>
    </row>
    <row r="2" spans="1:21" x14ac:dyDescent="0.25">
      <c r="C2" s="14" t="s">
        <v>0</v>
      </c>
      <c r="D2" s="243" t="s">
        <v>50</v>
      </c>
      <c r="E2" s="243"/>
      <c r="F2" s="243"/>
      <c r="I2" s="39" t="s">
        <v>1</v>
      </c>
      <c r="J2" s="42"/>
    </row>
    <row r="3" spans="1:21" x14ac:dyDescent="0.25">
      <c r="C3" s="7" t="s">
        <v>2</v>
      </c>
      <c r="D3" s="244" t="s">
        <v>3</v>
      </c>
      <c r="E3" s="244"/>
      <c r="F3" s="244"/>
      <c r="I3" s="39" t="s">
        <v>4</v>
      </c>
      <c r="J3" s="40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x14ac:dyDescent="0.25">
      <c r="A6">
        <f>+Mensual!B6</f>
        <v>4</v>
      </c>
      <c r="B6" s="3">
        <v>0.3</v>
      </c>
      <c r="C6" s="15" t="s">
        <v>51</v>
      </c>
      <c r="D6" s="33" t="str">
        <f>IF(VLOOKUP($C6,Mensual!$D$6:$G$163,2,0)&lt;0,0,VLOOKUP($C6,Mensual!$D$6:$G$163,2,0))</f>
        <v>RESULTADO SCORECARD</v>
      </c>
      <c r="E6" s="4">
        <f>IF(VLOOKUP($C6,Mensual!$D$6:$G$163,3,0)&lt;0,0,VLOOKUP($C6,Mensual!$D$6:$G$163,3,0))</f>
        <v>1</v>
      </c>
      <c r="F6" s="4">
        <f>IF(VLOOKUP($C6,Mensual!$D$6:$G$163,4,0)&lt;0,0,VLOOKUP($C6,Mensual!$D$6:$G$163,4,0))</f>
        <v>0.42549999999999999</v>
      </c>
      <c r="G6" s="4">
        <f>IF(VLOOKUP($C6,Mensual!$D$6:$H$163,5,0)&lt;0,0,VLOOKUP($C6,Mensual!$D$6:$H$163,5,0))</f>
        <v>0.42549999999999999</v>
      </c>
      <c r="H6" s="4">
        <f>+G6*B6</f>
        <v>0.12764999999999999</v>
      </c>
      <c r="I6" s="31">
        <f>+Mensual!J6</f>
        <v>0</v>
      </c>
      <c r="J6" s="31">
        <f>+Mensual!K6</f>
        <v>0</v>
      </c>
      <c r="K6" s="31">
        <f>+Mensual!L6</f>
        <v>0</v>
      </c>
      <c r="L6" s="31">
        <f>+Mensual!M6</f>
        <v>0</v>
      </c>
      <c r="M6" s="3"/>
      <c r="N6" s="3"/>
      <c r="O6" s="3"/>
      <c r="P6" s="3"/>
      <c r="Q6" s="3"/>
      <c r="R6" s="3"/>
      <c r="S6" s="3"/>
    </row>
    <row r="7" spans="1:21" x14ac:dyDescent="0.25">
      <c r="B7" s="3">
        <v>0.3</v>
      </c>
      <c r="C7" s="15" t="s">
        <v>7</v>
      </c>
      <c r="D7" s="33" t="str">
        <f>IF(VLOOKUP($C7,Mensual!$D$6:$G$163,2,0)&lt;0,0,VLOOKUP($C7,Mensual!$D$6:$G$163,2,0))</f>
        <v>RESULTADO SCORECARD</v>
      </c>
      <c r="E7" s="4">
        <f>IF(VLOOKUP($C7,Mensual!$D$6:$G$163,3,0)&lt;0,0,VLOOKUP($C7,Mensual!$D$6:$G$163,3,0))</f>
        <v>1</v>
      </c>
      <c r="F7" s="4">
        <f>IF(VLOOKUP($C7,Mensual!$D$6:$G$163,4,0)&lt;0,0,VLOOKUP($C7,Mensual!$D$6:$G$163,4,0))</f>
        <v>1.0325000000000002</v>
      </c>
      <c r="G7" s="4">
        <f>IF(VLOOKUP($C7,Mensual!$D$6:$H$163,5,0)&lt;0,0,VLOOKUP($C7,Mensual!$D$6:$H$163,5,0))</f>
        <v>1.0325000000000002</v>
      </c>
      <c r="H7" s="4">
        <f t="shared" ref="H7:H9" si="0">+G7*B7</f>
        <v>0.30975000000000003</v>
      </c>
      <c r="I7" s="36"/>
      <c r="J7" s="36"/>
      <c r="K7" s="36"/>
      <c r="L7" s="36"/>
      <c r="M7" s="1"/>
      <c r="N7" s="1"/>
      <c r="O7" s="1"/>
      <c r="P7" s="1"/>
      <c r="Q7" s="1"/>
      <c r="R7" s="1"/>
      <c r="S7" s="1"/>
    </row>
    <row r="8" spans="1:21" x14ac:dyDescent="0.25">
      <c r="B8" s="3">
        <v>0.1</v>
      </c>
      <c r="C8" s="15" t="s">
        <v>13</v>
      </c>
      <c r="D8" s="33" t="str">
        <f>IF(VLOOKUP($C8,Mensual!$D$6:$G$163,2,0)&lt;0,0,VLOOKUP($C8,Mensual!$D$6:$G$163,2,0))</f>
        <v>Articulos</v>
      </c>
      <c r="E8" s="33">
        <f>IF(VLOOKUP($C8,Mensual!$D$6:$G$163,3,0)&lt;0,0,VLOOKUP($C8,Mensual!$D$6:$G$163,3,0))</f>
        <v>10</v>
      </c>
      <c r="F8" s="33">
        <f>IF(VLOOKUP($C8,Mensual!$D$6:$G$163,4,0)&lt;0,0,VLOOKUP($C8,Mensual!$D$6:$G$163,4,0))</f>
        <v>19</v>
      </c>
      <c r="G8" s="4">
        <f>IF(VLOOKUP($C8,Mensual!$D$6:$H$163,5,0)&lt;0,0,VLOOKUP($C8,Mensual!$D$6:$H$163,5,0))</f>
        <v>1</v>
      </c>
      <c r="H8" s="4">
        <f t="shared" ref="H8" si="1">+G8*B8</f>
        <v>0.1</v>
      </c>
      <c r="I8" s="36"/>
      <c r="J8" s="36"/>
      <c r="K8" s="36"/>
      <c r="L8" s="36"/>
      <c r="M8" s="1"/>
      <c r="N8" s="1"/>
      <c r="O8" s="1"/>
      <c r="P8" s="1"/>
      <c r="Q8" s="1"/>
      <c r="R8" s="1"/>
      <c r="S8" s="1"/>
    </row>
    <row r="9" spans="1:21" x14ac:dyDescent="0.25">
      <c r="B9" s="3">
        <v>0.3</v>
      </c>
      <c r="C9" s="15" t="s">
        <v>52</v>
      </c>
      <c r="D9" s="33" t="str">
        <f>IF(VLOOKUP($C9,Mensual!$D$6:$G$163,2,0)&lt;0,0,VLOOKUP($C9,Mensual!$D$6:$G$163,2,0))</f>
        <v>Porcentaje</v>
      </c>
      <c r="E9" s="4">
        <f>IF(VLOOKUP($C9,Mensual!$D$6:$G$163,3,0)&lt;0,0,VLOOKUP($C9,Mensual!$D$6:$G$163,3,0))</f>
        <v>0.2</v>
      </c>
      <c r="F9" s="34">
        <f>IF(VLOOKUP($C9,Mensual!$D$6:$G$163,4,0)&lt;0,0,VLOOKUP($C9,Mensual!$D$6:$G$163,4,0))</f>
        <v>0</v>
      </c>
      <c r="G9" s="4">
        <f>IF(VLOOKUP($C9,Mensual!$D$6:$H$163,5,0)&lt;0,0,VLOOKUP($C9,Mensual!$D$6:$H$163,5,0))</f>
        <v>0</v>
      </c>
      <c r="H9" s="4">
        <f t="shared" si="0"/>
        <v>0</v>
      </c>
      <c r="I9" s="36"/>
      <c r="J9" s="36"/>
      <c r="K9" s="36"/>
      <c r="L9" s="36"/>
      <c r="M9" s="1"/>
      <c r="N9" s="1"/>
      <c r="O9" s="1"/>
      <c r="P9" s="1"/>
      <c r="Q9" s="1"/>
      <c r="R9" s="1"/>
      <c r="S9" s="1"/>
    </row>
    <row r="10" spans="1:21" x14ac:dyDescent="0.25">
      <c r="B10" s="1">
        <f>SUM(B6:B9)</f>
        <v>1</v>
      </c>
      <c r="C10" s="2"/>
      <c r="D10" s="1"/>
      <c r="E10" s="1"/>
      <c r="F10" s="1"/>
      <c r="G10" s="1"/>
      <c r="H10" s="35">
        <f>SUM(H6:H9)</f>
        <v>0.53739999999999999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21" x14ac:dyDescent="0.25">
      <c r="C11" s="2"/>
    </row>
  </sheetData>
  <mergeCells count="2">
    <mergeCell ref="D3:F3"/>
    <mergeCell ref="D2:F2"/>
  </mergeCells>
  <dataValidations count="1">
    <dataValidation type="list" allowBlank="1" showInputMessage="1" showErrorMessage="1" sqref="D2:F2" xr:uid="{00000000-0002-0000-0700-000000000000}">
      <formula1>INDIRECT(D3)</formula1>
    </dataValidation>
  </dataValidation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1000000}">
          <x14:formula1>
            <xm:f>Acumulado!$C$3:$C$661</xm:f>
          </x14:formula1>
          <xm:sqref>C6</xm:sqref>
        </x14:dataValidation>
        <x14:dataValidation type="list" allowBlank="1" showInputMessage="1" showErrorMessage="1" xr:uid="{00000000-0002-0000-0700-000002000000}">
          <x14:formula1>
            <xm:f>Acumulado!$C$3:$C$131</xm:f>
          </x14:formula1>
          <xm:sqref>C7:C9</xm:sqref>
        </x14:dataValidation>
        <x14:dataValidation type="list" allowBlank="1" showInputMessage="1" showErrorMessage="1" xr:uid="{00000000-0002-0000-0700-000003000000}">
          <x14:formula1>
            <xm:f>Listados!$A$1:$L$1</xm:f>
          </x14:formula1>
          <xm:sqref>D3:F3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5"/>
  <sheetViews>
    <sheetView showGridLines="0" zoomScale="105" zoomScaleNormal="55" workbookViewId="0">
      <selection activeCell="C14" sqref="C14"/>
    </sheetView>
  </sheetViews>
  <sheetFormatPr baseColWidth="10" defaultColWidth="11.42578125" defaultRowHeight="15" x14ac:dyDescent="0.25"/>
  <cols>
    <col min="3" max="3" width="65.85546875" bestFit="1" customWidth="1"/>
    <col min="4" max="4" width="19.5703125" customWidth="1"/>
    <col min="5" max="5" width="13.85546875" bestFit="1" customWidth="1"/>
    <col min="6" max="6" width="12.85546875" bestFit="1" customWidth="1"/>
    <col min="7" max="7" width="11.42578125" customWidth="1"/>
    <col min="8" max="8" width="19.140625" customWidth="1"/>
    <col min="9" max="9" width="13.7109375" bestFit="1" customWidth="1"/>
  </cols>
  <sheetData>
    <row r="1" spans="1:21" x14ac:dyDescent="0.25">
      <c r="I1" s="38">
        <v>0.9</v>
      </c>
      <c r="J1" s="41"/>
    </row>
    <row r="2" spans="1:21" x14ac:dyDescent="0.25">
      <c r="C2" s="14" t="s">
        <v>0</v>
      </c>
      <c r="D2" s="243" t="s">
        <v>53</v>
      </c>
      <c r="E2" s="243"/>
      <c r="F2" s="243"/>
      <c r="I2" s="39" t="s">
        <v>1</v>
      </c>
      <c r="J2" s="42"/>
    </row>
    <row r="3" spans="1:21" x14ac:dyDescent="0.25">
      <c r="C3" s="7" t="s">
        <v>2</v>
      </c>
      <c r="D3" s="244" t="s">
        <v>3</v>
      </c>
      <c r="E3" s="244"/>
      <c r="F3" s="244"/>
      <c r="I3" s="39" t="s">
        <v>4</v>
      </c>
      <c r="J3" s="40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x14ac:dyDescent="0.25">
      <c r="A6">
        <f>+Mensual!B6</f>
        <v>4</v>
      </c>
      <c r="B6" s="3">
        <v>0.4</v>
      </c>
      <c r="C6" s="15" t="s">
        <v>51</v>
      </c>
      <c r="D6" s="33" t="str">
        <f>IF(VLOOKUP($C6,Mensual!$D$6:$G$163,2,0)&lt;0,0,VLOOKUP($C6,Mensual!$D$6:$G$163,2,0))</f>
        <v>RESULTADO SCORECARD</v>
      </c>
      <c r="E6" s="4">
        <f>IF(VLOOKUP($C6,Mensual!$D$6:$G$163,3,0)&lt;0,0,VLOOKUP($C6,Mensual!$D$6:$G$163,3,0))</f>
        <v>1</v>
      </c>
      <c r="F6" s="4">
        <f>IF(VLOOKUP($C6,Mensual!$D$6:$G$163,4,0)&lt;0,0,VLOOKUP($C6,Mensual!$D$6:$G$163,4,0))</f>
        <v>0.42549999999999999</v>
      </c>
      <c r="G6" s="4">
        <f>IF(VLOOKUP($C6,Mensual!$D$6:$H$163,5,0)&lt;0,0,VLOOKUP($C6,Mensual!$D$6:$H$163,5,0))</f>
        <v>0.42549999999999999</v>
      </c>
      <c r="H6" s="4">
        <f>+G6*B6</f>
        <v>0.17020000000000002</v>
      </c>
      <c r="I6" s="31">
        <f>+Mensual!J6</f>
        <v>0</v>
      </c>
      <c r="J6" s="31">
        <f>+Mensual!K6</f>
        <v>0</v>
      </c>
      <c r="K6" s="31">
        <f>+Mensual!L6</f>
        <v>0</v>
      </c>
      <c r="L6" s="31">
        <f>+Mensual!M6</f>
        <v>0</v>
      </c>
      <c r="M6" s="3"/>
      <c r="N6" s="3"/>
      <c r="O6" s="3"/>
      <c r="P6" s="3"/>
      <c r="Q6" s="3"/>
      <c r="R6" s="3"/>
      <c r="S6" s="3"/>
    </row>
    <row r="7" spans="1:21" x14ac:dyDescent="0.25">
      <c r="B7" s="3">
        <v>0.1</v>
      </c>
      <c r="C7" s="15" t="s">
        <v>7</v>
      </c>
      <c r="D7" s="33" t="str">
        <f>IF(VLOOKUP($C7,Mensual!$D$6:$G$135,2,0)&lt;0,0,VLOOKUP($C7,Mensual!$D$6:$G$135,2,0))</f>
        <v>RESULTADO SCORECARD</v>
      </c>
      <c r="E7" s="4">
        <f>IF(VLOOKUP($C7,Mensual!$D$6:$G$163,3,0)&lt;0,0,VLOOKUP($C7,Mensual!$D$6:$G$163,3,0))</f>
        <v>1</v>
      </c>
      <c r="F7" s="4">
        <f>IF(VLOOKUP($C7,Mensual!$D$6:$G$163,4,0)&lt;0,0,VLOOKUP($C7,Mensual!$D$6:$G$163,4,0))</f>
        <v>1.0325000000000002</v>
      </c>
      <c r="G7" s="4">
        <f>IF(VLOOKUP($C7,Mensual!$D$6:$H$163,5,0)&lt;0,0,VLOOKUP($C7,Mensual!$D$6:$H$163,5,0))</f>
        <v>1.0325000000000002</v>
      </c>
      <c r="H7" s="4">
        <f t="shared" ref="H7:H8" si="0">+G7*B7</f>
        <v>0.10325000000000002</v>
      </c>
      <c r="I7" s="36"/>
      <c r="J7" s="36"/>
      <c r="K7" s="36"/>
      <c r="L7" s="36"/>
      <c r="M7" s="1"/>
      <c r="N7" s="1"/>
      <c r="O7" s="1"/>
      <c r="P7" s="1"/>
      <c r="Q7" s="1"/>
      <c r="R7" s="1"/>
      <c r="S7" s="1"/>
    </row>
    <row r="8" spans="1:21" x14ac:dyDescent="0.25">
      <c r="B8" s="3">
        <v>0.2</v>
      </c>
      <c r="C8" s="15" t="s">
        <v>47</v>
      </c>
      <c r="D8" s="33"/>
      <c r="E8" s="33">
        <f>IF(VLOOKUP($C8,Mensual!$D$6:$G$163,3,0)&lt;0,0,VLOOKUP($C8,Mensual!$D$6:$G$163,3,0))</f>
        <v>10</v>
      </c>
      <c r="F8" s="4">
        <f>IF(VLOOKUP($C8,Mensual!$D$6:$G$163,4,0)&lt;0,0,VLOOKUP($C8,Mensual!$D$6:$G$163,4,0))</f>
        <v>0</v>
      </c>
      <c r="G8" s="4">
        <f>IF(VLOOKUP($C8,Mensual!$D$6:$H$163,5,0)&lt;0,0,VLOOKUP($C8,Mensual!$D$6:$H$163,5,0))</f>
        <v>0</v>
      </c>
      <c r="H8" s="4">
        <f t="shared" si="0"/>
        <v>0</v>
      </c>
      <c r="I8" s="36"/>
      <c r="J8" s="36"/>
      <c r="K8" s="36"/>
      <c r="L8" s="36"/>
      <c r="M8" s="1"/>
      <c r="N8" s="1"/>
      <c r="O8" s="1"/>
      <c r="P8" s="1"/>
      <c r="Q8" s="1"/>
      <c r="R8" s="1"/>
      <c r="S8" s="1"/>
    </row>
    <row r="9" spans="1:21" x14ac:dyDescent="0.25">
      <c r="B9" s="3">
        <v>0.3</v>
      </c>
      <c r="C9" s="15" t="s">
        <v>83</v>
      </c>
      <c r="D9" s="33" t="str">
        <f>IF(VLOOKUP($C9,Mensual!$D$6:$G$135,2,0)&lt;0,0,VLOOKUP($C9,Mensual!$D$6:$G$135,2,0))</f>
        <v># de fallas</v>
      </c>
      <c r="E9" s="4">
        <f>IF(VLOOKUP($C9,Mensual!$D$6:$G$163,3,0)&lt;0,0,VLOOKUP($C9,Mensual!$D$6:$G$163,3,0))</f>
        <v>1</v>
      </c>
      <c r="F9" s="4">
        <f>IF(VLOOKUP($C9,Mensual!$D$6:$G$163,4,0)&lt;0,0,VLOOKUP($C9,Mensual!$D$6:$G$163,4,0))</f>
        <v>0</v>
      </c>
      <c r="G9" s="4">
        <f>IF(VLOOKUP($C9,Mensual!$D$6:$H$163,5,0)&lt;0,0,VLOOKUP($C9,Mensual!$D$6:$H$163,5,0))</f>
        <v>1</v>
      </c>
      <c r="H9" s="4">
        <f t="shared" ref="H9" si="1">+G9*B9</f>
        <v>0.3</v>
      </c>
      <c r="I9" s="36"/>
      <c r="J9" s="36"/>
      <c r="K9" s="36"/>
      <c r="L9" s="36"/>
      <c r="M9" s="1"/>
      <c r="N9" s="1"/>
      <c r="O9" s="1"/>
      <c r="P9" s="1"/>
      <c r="Q9" s="1"/>
      <c r="R9" s="1"/>
      <c r="S9" s="1"/>
    </row>
    <row r="10" spans="1:21" x14ac:dyDescent="0.25">
      <c r="B10" s="1">
        <f>SUM(B6:B9)</f>
        <v>1</v>
      </c>
      <c r="C10" s="2"/>
      <c r="D10" s="1"/>
      <c r="E10" s="1"/>
      <c r="F10" s="1"/>
      <c r="G10" s="1"/>
      <c r="H10" s="35">
        <f>SUM(H6:H9)</f>
        <v>0.57345000000000002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21" x14ac:dyDescent="0.25">
      <c r="C11" s="2"/>
    </row>
    <row r="24" spans="3:3" x14ac:dyDescent="0.25">
      <c r="C24" t="s">
        <v>54</v>
      </c>
    </row>
    <row r="25" spans="3:3" x14ac:dyDescent="0.25">
      <c r="C25" t="s">
        <v>55</v>
      </c>
    </row>
  </sheetData>
  <mergeCells count="2">
    <mergeCell ref="D2:F2"/>
    <mergeCell ref="D3:F3"/>
  </mergeCells>
  <dataValidations count="1">
    <dataValidation type="list" allowBlank="1" showInputMessage="1" showErrorMessage="1" sqref="D2:F2" xr:uid="{00000000-0002-0000-0800-000000000000}">
      <formula1>INDIRECT(D3)</formula1>
    </dataValidation>
  </dataValidation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1000000}">
          <x14:formula1>
            <xm:f>Acumulado!$C$3:$C$131</xm:f>
          </x14:formula1>
          <xm:sqref>C7:C9</xm:sqref>
        </x14:dataValidation>
        <x14:dataValidation type="list" allowBlank="1" showInputMessage="1" showErrorMessage="1" xr:uid="{00000000-0002-0000-0800-000002000000}">
          <x14:formula1>
            <xm:f>Acumulado!$C$3:$C$661</xm:f>
          </x14:formula1>
          <xm:sqref>C6</xm:sqref>
        </x14:dataValidation>
        <x14:dataValidation type="list" allowBlank="1" showInputMessage="1" showErrorMessage="1" xr:uid="{00000000-0002-0000-0800-000003000000}">
          <x14:formula1>
            <xm:f>Listados!$A$1:$L$1</xm:f>
          </x14:formula1>
          <xm:sqref>D3:F3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</sheetPr>
  <dimension ref="A1:U23"/>
  <sheetViews>
    <sheetView showGridLines="0" zoomScaleNormal="100" workbookViewId="0">
      <selection activeCell="C13" sqref="C13"/>
    </sheetView>
  </sheetViews>
  <sheetFormatPr baseColWidth="10" defaultColWidth="11.42578125" defaultRowHeight="15" x14ac:dyDescent="0.25"/>
  <cols>
    <col min="3" max="3" width="65.85546875" bestFit="1" customWidth="1"/>
    <col min="4" max="4" width="19.5703125" customWidth="1"/>
    <col min="5" max="5" width="13.85546875" bestFit="1" customWidth="1"/>
    <col min="6" max="6" width="12.85546875" bestFit="1" customWidth="1"/>
    <col min="7" max="7" width="11.42578125" customWidth="1"/>
    <col min="8" max="8" width="19.140625" customWidth="1"/>
    <col min="9" max="9" width="13.7109375" bestFit="1" customWidth="1"/>
  </cols>
  <sheetData>
    <row r="1" spans="1:21" x14ac:dyDescent="0.25">
      <c r="I1" s="38">
        <v>0.9</v>
      </c>
      <c r="J1" s="41"/>
    </row>
    <row r="2" spans="1:21" x14ac:dyDescent="0.25">
      <c r="C2" s="7" t="s">
        <v>2</v>
      </c>
      <c r="D2" s="244" t="s">
        <v>56</v>
      </c>
      <c r="E2" s="244"/>
      <c r="F2" s="244"/>
      <c r="I2" s="39" t="s">
        <v>1</v>
      </c>
      <c r="J2" s="42"/>
    </row>
    <row r="3" spans="1:21" x14ac:dyDescent="0.25">
      <c r="C3" s="2"/>
      <c r="I3" s="39" t="s">
        <v>4</v>
      </c>
      <c r="J3" s="40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x14ac:dyDescent="0.25">
      <c r="A6">
        <f>+Mensual!B6</f>
        <v>4</v>
      </c>
      <c r="B6" s="3">
        <v>0.35</v>
      </c>
      <c r="C6" s="15" t="s">
        <v>7</v>
      </c>
      <c r="D6" s="33" t="str">
        <f>IF(VLOOKUP($C6,Mensual!$D$6:$G$163,2,0)&lt;0,0,VLOOKUP($C6,Mensual!$D$6:$G$163,2,0))</f>
        <v>RESULTADO SCORECARD</v>
      </c>
      <c r="E6" s="4">
        <f>IF(VLOOKUP($C6,Mensual!$D$6:$G$163,3,0)&lt;0,0,VLOOKUP($C6,Mensual!$D$6:$G$163,3,0))</f>
        <v>1</v>
      </c>
      <c r="F6" s="4">
        <f>IF(VLOOKUP($C6,Mensual!$D$6:$G$163,4,0)&lt;0,0,VLOOKUP($C6,Mensual!$D$6:$G$163,4,0))</f>
        <v>1.0325000000000002</v>
      </c>
      <c r="G6" s="4">
        <f>IF(VLOOKUP($C6,Mensual!$D$6:$H$163,5,0)&lt;0,0,VLOOKUP($C6,Mensual!$D$6:$H$163,5,0))</f>
        <v>1.0325000000000002</v>
      </c>
      <c r="H6" s="4">
        <f>+G6*B6</f>
        <v>0.36137500000000006</v>
      </c>
      <c r="I6" s="31">
        <f>+Mensual!J6</f>
        <v>0</v>
      </c>
      <c r="J6" s="31">
        <f>+Mensual!K6</f>
        <v>0</v>
      </c>
      <c r="K6" s="31">
        <f>+Mensual!L6</f>
        <v>0</v>
      </c>
      <c r="L6" s="31">
        <f>+Mensual!M6</f>
        <v>0</v>
      </c>
      <c r="M6" s="3"/>
      <c r="N6" s="3"/>
      <c r="O6" s="3"/>
      <c r="P6" s="3"/>
      <c r="Q6" s="3"/>
      <c r="R6" s="3"/>
      <c r="S6" s="3"/>
    </row>
    <row r="7" spans="1:21" s="41" customFormat="1" x14ac:dyDescent="0.25">
      <c r="B7" s="79">
        <v>0.1</v>
      </c>
      <c r="C7" s="80" t="s">
        <v>57</v>
      </c>
      <c r="D7" s="81">
        <f>IF(VLOOKUP($C7,Mensual!$D$6:$G$163,2,0)&lt;0,0,VLOOKUP($C7,Mensual!$D$6:$G$163,2,0))</f>
        <v>0</v>
      </c>
      <c r="E7" s="54">
        <f>IF(VLOOKUP($C7,Mensual!$D$6:$G$163,3,0)&lt;0,0,VLOOKUP($C7,Mensual!$D$6:$G$163,3,0))</f>
        <v>0</v>
      </c>
      <c r="F7" s="54">
        <f>IF(VLOOKUP($C7,Mensual!$D$6:$G$163,4,0)&lt;0,0,VLOOKUP($C7,Mensual!$D$6:$G$163,4,0))</f>
        <v>0.14000000000000001</v>
      </c>
      <c r="G7" s="54">
        <f>IF(VLOOKUP($C7,Mensual!$D$6:$H$163,5,0)&lt;0,0,VLOOKUP($C7,Mensual!$D$6:$H$163,5,0))</f>
        <v>0</v>
      </c>
      <c r="H7" s="54">
        <f t="shared" ref="H7" si="0">+G7*B7</f>
        <v>0</v>
      </c>
      <c r="I7" s="82"/>
      <c r="J7" s="82"/>
      <c r="K7" s="82"/>
      <c r="L7" s="82"/>
      <c r="M7" s="83"/>
      <c r="N7" s="83"/>
      <c r="O7" s="83"/>
      <c r="P7" s="83"/>
      <c r="Q7" s="83"/>
      <c r="R7" s="83"/>
      <c r="S7" s="83"/>
    </row>
    <row r="8" spans="1:21" s="41" customFormat="1" x14ac:dyDescent="0.25">
      <c r="B8" s="79">
        <v>0.1</v>
      </c>
      <c r="C8" s="80" t="s">
        <v>34</v>
      </c>
      <c r="D8" s="81">
        <f>IF(VLOOKUP($C8,Mensual!$D$6:$G$163,2,0)&lt;0,0,VLOOKUP($C8,Mensual!$D$6:$G$163,2,0))</f>
        <v>0</v>
      </c>
      <c r="E8" s="54">
        <f>IF(VLOOKUP($C8,Mensual!$D$6:$G$163,3,0)&lt;0,0,VLOOKUP($C8,Mensual!$D$6:$G$163,3,0))</f>
        <v>1</v>
      </c>
      <c r="F8" s="54">
        <f>IF(VLOOKUP($C8,Mensual!$D$6:$G$163,4,0)&lt;0,0,VLOOKUP($C8,Mensual!$D$6:$G$163,4,0))</f>
        <v>1</v>
      </c>
      <c r="G8" s="54">
        <f>IF(VLOOKUP($C8,Mensual!$D$6:$H$163,5,0)&lt;0,0,VLOOKUP($C8,Mensual!$D$6:$H$163,5,0))</f>
        <v>1</v>
      </c>
      <c r="H8" s="54">
        <f t="shared" ref="H8:H9" si="1">+G8*B8</f>
        <v>0.1</v>
      </c>
      <c r="I8" s="82"/>
      <c r="J8" s="82"/>
      <c r="K8" s="82"/>
      <c r="L8" s="82"/>
      <c r="M8" s="83"/>
      <c r="N8" s="83"/>
      <c r="O8" s="83"/>
      <c r="P8" s="83"/>
      <c r="Q8" s="83"/>
      <c r="R8" s="83"/>
      <c r="S8" s="83"/>
    </row>
    <row r="9" spans="1:21" s="41" customFormat="1" x14ac:dyDescent="0.25">
      <c r="B9" s="79">
        <v>0.1</v>
      </c>
      <c r="C9" s="80" t="s">
        <v>58</v>
      </c>
      <c r="D9" s="81">
        <f>IF(VLOOKUP($C9,Mensual!$D$6:$G$163,2,0)&lt;0,0,VLOOKUP($C9,Mensual!$D$6:$G$163,2,0))</f>
        <v>0</v>
      </c>
      <c r="E9" s="54">
        <f>IF(VLOOKUP($C9,Mensual!$D$6:$G$163,3,0)&lt;0,0,VLOOKUP($C9,Mensual!$D$6:$G$163,3,0))</f>
        <v>0</v>
      </c>
      <c r="F9" s="54">
        <f>IF(VLOOKUP($C9,Mensual!$D$6:$G$163,4,0)&lt;0,0,VLOOKUP($C9,Mensual!$D$6:$G$163,4,0))</f>
        <v>0</v>
      </c>
      <c r="G9" s="54">
        <f>IF(VLOOKUP($C9,Mensual!$D$6:$H$163,5,0)&lt;0,0,VLOOKUP($C9,Mensual!$D$6:$H$163,5,0))</f>
        <v>0</v>
      </c>
      <c r="H9" s="54">
        <f t="shared" si="1"/>
        <v>0</v>
      </c>
      <c r="I9" s="82"/>
      <c r="J9" s="82"/>
      <c r="K9" s="82"/>
      <c r="L9" s="82"/>
      <c r="M9" s="83"/>
      <c r="N9" s="83"/>
      <c r="O9" s="83"/>
      <c r="P9" s="83"/>
      <c r="Q9" s="83"/>
      <c r="R9" s="83"/>
      <c r="S9" s="83"/>
    </row>
    <row r="10" spans="1:21" s="41" customFormat="1" x14ac:dyDescent="0.25">
      <c r="B10" s="79">
        <v>0.1</v>
      </c>
      <c r="C10" s="80" t="s">
        <v>59</v>
      </c>
      <c r="D10" s="81" t="str">
        <f>IF(VLOOKUP($C10,Mensual!$D$6:$G$163,2,0)&lt;0,0,VLOOKUP($C10,Mensual!$D$6:$G$163,2,0))</f>
        <v xml:space="preserve">kms </v>
      </c>
      <c r="E10" s="54">
        <f>IF(VLOOKUP($C10,Mensual!$D$6:$G$163,3,0)&lt;0,0,VLOOKUP($C10,Mensual!$D$6:$G$163,3,0))</f>
        <v>0.2</v>
      </c>
      <c r="F10" s="54">
        <f>IF(VLOOKUP($C10,Mensual!$D$6:$G$163,4,0)&lt;0,0,VLOOKUP($C10,Mensual!$D$6:$G$163,4,0))</f>
        <v>0</v>
      </c>
      <c r="G10" s="54">
        <f>IF(VLOOKUP($C10,Mensual!$D$6:$H$163,5,0)&lt;0,0,VLOOKUP($C10,Mensual!$D$6:$H$163,5,0))</f>
        <v>0</v>
      </c>
      <c r="H10" s="54">
        <f t="shared" ref="H10:H13" si="2">+G10*B10</f>
        <v>0</v>
      </c>
      <c r="I10" s="82"/>
      <c r="J10" s="82"/>
      <c r="K10" s="82"/>
      <c r="L10" s="82"/>
      <c r="M10" s="83"/>
      <c r="N10" s="83"/>
      <c r="O10" s="83"/>
      <c r="P10" s="83"/>
      <c r="Q10" s="83"/>
      <c r="R10" s="83"/>
      <c r="S10" s="83"/>
    </row>
    <row r="11" spans="1:21" s="41" customFormat="1" x14ac:dyDescent="0.25">
      <c r="B11" s="79">
        <v>0.1</v>
      </c>
      <c r="C11" s="80" t="s">
        <v>60</v>
      </c>
      <c r="D11" s="81">
        <f>IF(VLOOKUP($C11,Mensual!$D$6:$G$163,2,0)&lt;0,0,VLOOKUP($C11,Mensual!$D$6:$G$163,2,0))</f>
        <v>0</v>
      </c>
      <c r="E11" s="54">
        <f>IF(VLOOKUP($C11,Mensual!$D$6:$G$163,3,0)&lt;0,0,VLOOKUP($C11,Mensual!$D$6:$G$163,3,0))</f>
        <v>4000</v>
      </c>
      <c r="F11" s="54">
        <f>IF(VLOOKUP($C11,Mensual!$D$6:$G$163,4,0)&lt;0,0,VLOOKUP($C11,Mensual!$D$6:$G$163,4,0))</f>
        <v>4268</v>
      </c>
      <c r="G11" s="54">
        <f>IF(VLOOKUP($C11,Mensual!$D$6:$H$163,5,0)&lt;0,0,VLOOKUP($C11,Mensual!$D$6:$H$163,5,0))</f>
        <v>1</v>
      </c>
      <c r="H11" s="54">
        <f t="shared" ref="H11" si="3">+G11*B11</f>
        <v>0.1</v>
      </c>
      <c r="I11" s="82"/>
      <c r="J11" s="82"/>
      <c r="K11" s="82"/>
      <c r="L11" s="82"/>
      <c r="M11" s="83"/>
      <c r="N11" s="83"/>
      <c r="O11" s="83"/>
      <c r="P11" s="83"/>
      <c r="Q11" s="83"/>
      <c r="R11" s="83"/>
      <c r="S11" s="83"/>
    </row>
    <row r="12" spans="1:21" x14ac:dyDescent="0.25">
      <c r="B12" s="3">
        <v>0.05</v>
      </c>
      <c r="C12" s="15" t="s">
        <v>27</v>
      </c>
      <c r="D12" s="92" t="str">
        <f>IF(VLOOKUP($C12,Mensual!$D$6:$G$163,2,0)&lt;0,0,VLOOKUP($C12,Mensual!$D$6:$G$163,2,0))</f>
        <v>cabezal</v>
      </c>
      <c r="E12" s="93">
        <f>IF(VLOOKUP($C12,Mensual!$D$6:$G$163,3,0)&lt;0,0,VLOOKUP($C12,Mensual!$D$6:$G$163,3,0))</f>
        <v>1</v>
      </c>
      <c r="F12" s="93">
        <f>IF(VLOOKUP($C12,Mensual!$D$6:$G$163,4,0)&lt;0,0,VLOOKUP($C12,Mensual!$D$6:$G$163,4,0))</f>
        <v>1</v>
      </c>
      <c r="G12" s="93">
        <f>IF(VLOOKUP($C12,Mensual!$D$6:$H$163,5,0)&lt;0,0,VLOOKUP($C12,Mensual!$D$6:$H$163,5,0))</f>
        <v>0</v>
      </c>
      <c r="H12" s="93">
        <f t="shared" si="2"/>
        <v>0</v>
      </c>
      <c r="I12" s="94"/>
      <c r="J12" s="94"/>
      <c r="K12" s="94"/>
      <c r="L12" s="94"/>
      <c r="M12" s="1"/>
      <c r="N12" s="1"/>
      <c r="O12" s="1"/>
      <c r="P12" s="1"/>
      <c r="Q12" s="1"/>
      <c r="R12" s="1"/>
      <c r="S12" s="1"/>
    </row>
    <row r="13" spans="1:21" x14ac:dyDescent="0.25">
      <c r="B13" s="3">
        <v>0.1</v>
      </c>
      <c r="C13" s="15" t="s">
        <v>24</v>
      </c>
      <c r="D13" s="92" t="str">
        <f>IF(VLOOKUP($C13,Mensual!$D$6:$G$163,2,0)&lt;0,0,VLOOKUP($C13,Mensual!$D$6:$G$163,2,0))</f>
        <v>$</v>
      </c>
      <c r="E13" s="93">
        <f>IF(VLOOKUP($C13,Mensual!$D$6:$G$163,3,0)&lt;0,0,VLOOKUP($C13,Mensual!$D$6:$G$163,3,0))</f>
        <v>0.05</v>
      </c>
      <c r="F13" s="93">
        <f>IF(VLOOKUP($C13,Mensual!$D$6:$G$163,4,0)&lt;0,0,VLOOKUP($C13,Mensual!$D$6:$G$163,4,0))</f>
        <v>0.6</v>
      </c>
      <c r="G13" s="93">
        <f>IF(VLOOKUP($C13,Mensual!$D$6:$H$163,5,0)&lt;0,0,VLOOKUP($C13,Mensual!$D$6:$H$163,5,0))</f>
        <v>1</v>
      </c>
      <c r="H13" s="93">
        <f t="shared" si="2"/>
        <v>0.1</v>
      </c>
      <c r="I13" s="94"/>
      <c r="J13" s="94"/>
      <c r="K13" s="94"/>
      <c r="L13" s="94"/>
      <c r="M13" s="1"/>
      <c r="N13" s="1"/>
      <c r="O13" s="1"/>
      <c r="P13" s="1"/>
      <c r="Q13" s="1"/>
      <c r="R13" s="1"/>
      <c r="S13" s="1"/>
    </row>
    <row r="14" spans="1:21" x14ac:dyDescent="0.25">
      <c r="B14" s="1">
        <f>SUM(B6:B13)</f>
        <v>0.99999999999999989</v>
      </c>
      <c r="C14" s="2"/>
      <c r="D14" s="1"/>
      <c r="E14" s="1"/>
      <c r="F14" s="1"/>
      <c r="G14" s="1"/>
      <c r="H14" s="35">
        <f>SUM(H6:H13)</f>
        <v>0.66137500000000005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21" x14ac:dyDescent="0.25">
      <c r="C15" s="2"/>
    </row>
    <row r="18" spans="3:3" x14ac:dyDescent="0.25">
      <c r="C18" s="95" t="s">
        <v>61</v>
      </c>
    </row>
    <row r="19" spans="3:3" x14ac:dyDescent="0.25">
      <c r="C19" s="96"/>
    </row>
    <row r="20" spans="3:3" x14ac:dyDescent="0.25">
      <c r="C20" s="96"/>
    </row>
    <row r="21" spans="3:3" x14ac:dyDescent="0.25">
      <c r="C21" s="96"/>
    </row>
    <row r="22" spans="3:3" x14ac:dyDescent="0.25">
      <c r="C22" s="96"/>
    </row>
    <row r="23" spans="3:3" x14ac:dyDescent="0.25">
      <c r="C23" s="96"/>
    </row>
  </sheetData>
  <mergeCells count="1">
    <mergeCell ref="D2:F2"/>
  </mergeCells>
  <dataValidations count="1">
    <dataValidation type="list" allowBlank="1" showInputMessage="1" showErrorMessage="1" sqref="C19:C23" xr:uid="{00000000-0002-0000-0900-000000000000}">
      <formula1>INDIRECT($D$2)</formula1>
    </dataValidation>
  </dataValidation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2000000}">
          <x14:formula1>
            <xm:f>Acumulado!$C$3:$C$661</xm:f>
          </x14:formula1>
          <xm:sqref>C6</xm:sqref>
        </x14:dataValidation>
        <x14:dataValidation type="list" allowBlank="1" showInputMessage="1" showErrorMessage="1" xr:uid="{00000000-0002-0000-0900-000003000000}">
          <x14:formula1>
            <xm:f>Listados!$A$1:$L$1</xm:f>
          </x14:formula1>
          <xm:sqref>D2:F2</xm:sqref>
        </x14:dataValidation>
        <x14:dataValidation type="list" allowBlank="1" showInputMessage="1" showErrorMessage="1" xr:uid="{00000000-0002-0000-0900-000004000000}">
          <x14:formula1>
            <xm:f>Acumulado!$C$3:$C$131</xm:f>
          </x14:formula1>
          <xm:sqref>C7:C13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/>
  </sheetPr>
  <dimension ref="A1:U19"/>
  <sheetViews>
    <sheetView showGridLines="0" zoomScale="115" zoomScaleNormal="115" workbookViewId="0">
      <selection activeCell="F15" sqref="F15"/>
    </sheetView>
  </sheetViews>
  <sheetFormatPr baseColWidth="10" defaultColWidth="11.42578125" defaultRowHeight="15" x14ac:dyDescent="0.25"/>
  <cols>
    <col min="3" max="3" width="65.85546875" bestFit="1" customWidth="1"/>
    <col min="4" max="4" width="19.5703125" customWidth="1"/>
    <col min="5" max="5" width="13.85546875" bestFit="1" customWidth="1"/>
    <col min="6" max="6" width="12.85546875" bestFit="1" customWidth="1"/>
    <col min="7" max="7" width="11.42578125" customWidth="1"/>
    <col min="8" max="8" width="19.140625" customWidth="1"/>
    <col min="9" max="9" width="13.7109375" bestFit="1" customWidth="1"/>
  </cols>
  <sheetData>
    <row r="1" spans="1:21" x14ac:dyDescent="0.25">
      <c r="I1" s="38">
        <v>0.9</v>
      </c>
      <c r="J1" s="41"/>
    </row>
    <row r="2" spans="1:21" x14ac:dyDescent="0.25">
      <c r="C2" s="7" t="s">
        <v>2</v>
      </c>
      <c r="D2" s="244" t="s">
        <v>16</v>
      </c>
      <c r="E2" s="244"/>
      <c r="F2" s="244"/>
      <c r="I2" s="39" t="s">
        <v>1</v>
      </c>
      <c r="J2" s="42"/>
    </row>
    <row r="3" spans="1:21" x14ac:dyDescent="0.25">
      <c r="C3" s="2"/>
      <c r="I3" s="39" t="s">
        <v>4</v>
      </c>
      <c r="J3" s="40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x14ac:dyDescent="0.25">
      <c r="A6">
        <f>+Mensual!B6</f>
        <v>4</v>
      </c>
      <c r="B6" s="3">
        <v>0.25</v>
      </c>
      <c r="C6" s="15" t="s">
        <v>7</v>
      </c>
      <c r="D6" s="33" t="str">
        <f>IF(VLOOKUP($C6,Mensual!$D$6:$G$163,2,0)&lt;0,0,VLOOKUP($C6,Mensual!$D$6:$G$163,2,0))</f>
        <v>RESULTADO SCORECARD</v>
      </c>
      <c r="E6" s="4">
        <f>IF(VLOOKUP($C6,Mensual!$D$6:$G$163,3,0)&lt;0,0,VLOOKUP($C6,Mensual!$D$6:$G$163,3,0))</f>
        <v>1</v>
      </c>
      <c r="F6" s="4">
        <f>IF(VLOOKUP($C6,Mensual!$D$6:$G$163,4,0)&lt;0,0,VLOOKUP($C6,Mensual!$D$6:$G$163,4,0))</f>
        <v>1.0325000000000002</v>
      </c>
      <c r="G6" s="4">
        <f>IF(VLOOKUP($C6,Mensual!$D$6:$H$163,5,0)&lt;0,0,VLOOKUP($C6,Mensual!$D$6:$H$163,5,0))</f>
        <v>1.0325000000000002</v>
      </c>
      <c r="H6" s="4">
        <f>+G6*B6</f>
        <v>0.25812500000000005</v>
      </c>
      <c r="I6" s="31">
        <f>+Mensual!J6</f>
        <v>0</v>
      </c>
      <c r="J6" s="31">
        <f>+Mensual!K6</f>
        <v>0</v>
      </c>
      <c r="K6" s="31">
        <f>+Mensual!L6</f>
        <v>0</v>
      </c>
      <c r="L6" s="31">
        <f>+Mensual!M6</f>
        <v>0</v>
      </c>
      <c r="M6" s="3"/>
      <c r="N6" s="3"/>
      <c r="O6" s="3"/>
      <c r="P6" s="3"/>
      <c r="Q6" s="3"/>
      <c r="R6" s="3"/>
      <c r="S6" s="3"/>
    </row>
    <row r="7" spans="1:21" s="41" customFormat="1" x14ac:dyDescent="0.25">
      <c r="B7" s="79">
        <v>0.2</v>
      </c>
      <c r="C7" s="80" t="s">
        <v>62</v>
      </c>
      <c r="D7" s="81">
        <f>IF(VLOOKUP($C7,Mensual!$D$6:$G$163,2,0)&lt;0,0,VLOOKUP($C7,Mensual!$D$6:$G$163,2,0))</f>
        <v>0</v>
      </c>
      <c r="E7" s="54">
        <f>IF(VLOOKUP($C7,Mensual!$D$6:$G$163,3,0)&lt;0,0,VLOOKUP($C7,Mensual!$D$6:$G$163,3,0))</f>
        <v>0.1</v>
      </c>
      <c r="F7" s="54">
        <f>IF(VLOOKUP($C7,Mensual!$D$6:$G$163,4,0)&lt;0,0,VLOOKUP($C7,Mensual!$D$6:$G$163,4,0))</f>
        <v>0.1</v>
      </c>
      <c r="G7" s="54">
        <f>IF(VLOOKUP($C7,Mensual!$D$6:$H$163,5,0)&lt;0,0,VLOOKUP($C7,Mensual!$D$6:$H$163,5,0))</f>
        <v>1</v>
      </c>
      <c r="H7" s="54">
        <f t="shared" ref="H7:H10" si="0">+G7*B7</f>
        <v>0.2</v>
      </c>
      <c r="I7" s="82"/>
      <c r="J7" s="82"/>
      <c r="K7" s="82"/>
      <c r="L7" s="82"/>
      <c r="M7" s="83"/>
      <c r="N7" s="83"/>
      <c r="O7" s="83"/>
      <c r="P7" s="83"/>
      <c r="Q7" s="83"/>
      <c r="R7" s="83"/>
      <c r="S7" s="83"/>
    </row>
    <row r="8" spans="1:21" s="41" customFormat="1" x14ac:dyDescent="0.25">
      <c r="B8" s="79">
        <v>0.2</v>
      </c>
      <c r="C8" s="80" t="s">
        <v>63</v>
      </c>
      <c r="D8" s="81" t="str">
        <f>IF(VLOOKUP($C8,Mensual!$D$6:$G$163,2,0)&lt;0,0,VLOOKUP($C8,Mensual!$D$6:$G$163,2,0))</f>
        <v>cliente</v>
      </c>
      <c r="E8" s="81">
        <f>IF(VLOOKUP($C8,Mensual!$D$6:$G$163,3,0)&lt;0,0,VLOOKUP($C8,Mensual!$D$6:$G$163,3,0))</f>
        <v>1</v>
      </c>
      <c r="F8" s="54">
        <f>IF(VLOOKUP($C8,Mensual!$D$6:$G$163,4,0)&lt;0,0,VLOOKUP($C8,Mensual!$D$6:$G$163,4,0))</f>
        <v>0</v>
      </c>
      <c r="G8" s="54">
        <f>IF(VLOOKUP($C8,Mensual!$D$6:$H$163,5,0)&lt;0,0,VLOOKUP($C8,Mensual!$D$6:$H$163,5,0))</f>
        <v>0</v>
      </c>
      <c r="H8" s="54">
        <f t="shared" si="0"/>
        <v>0</v>
      </c>
      <c r="I8" s="82"/>
      <c r="J8" s="82"/>
      <c r="K8" s="82"/>
      <c r="L8" s="82"/>
      <c r="M8" s="83"/>
      <c r="N8" s="83"/>
      <c r="O8" s="83"/>
      <c r="P8" s="83"/>
      <c r="Q8" s="83"/>
      <c r="R8" s="83"/>
      <c r="S8" s="83"/>
    </row>
    <row r="9" spans="1:21" s="41" customFormat="1" x14ac:dyDescent="0.25">
      <c r="B9" s="79">
        <v>0.1</v>
      </c>
      <c r="C9" s="80" t="s">
        <v>64</v>
      </c>
      <c r="D9" s="81" t="str">
        <f>IF(VLOOKUP($C9,Mensual!$D$6:$G$163,2,0)&lt;0,0,VLOOKUP($C9,Mensual!$D$6:$G$163,2,0))</f>
        <v># de cierres a tiempo</v>
      </c>
      <c r="E9" s="81">
        <f>IF(VLOOKUP($C9,Mensual!$D$6:$G$163,3,0)&lt;0,0,VLOOKUP($C9,Mensual!$D$6:$G$163,3,0))</f>
        <v>1</v>
      </c>
      <c r="F9" s="54">
        <f>IF(VLOOKUP($C9,Mensual!$D$6:$G$163,4,0)&lt;0,0,VLOOKUP($C9,Mensual!$D$6:$G$163,4,0))</f>
        <v>1</v>
      </c>
      <c r="G9" s="54">
        <f>IF(VLOOKUP($C9,Mensual!$D$6:$H$163,5,0)&lt;0,0,VLOOKUP($C9,Mensual!$D$6:$H$163,5,0))</f>
        <v>1</v>
      </c>
      <c r="H9" s="54">
        <f t="shared" si="0"/>
        <v>0.1</v>
      </c>
      <c r="I9" s="82"/>
      <c r="J9" s="82"/>
      <c r="K9" s="82"/>
      <c r="L9" s="82"/>
      <c r="M9" s="83"/>
      <c r="N9" s="83"/>
      <c r="O9" s="83"/>
      <c r="P9" s="83"/>
      <c r="Q9" s="83"/>
      <c r="R9" s="83"/>
      <c r="S9" s="83"/>
    </row>
    <row r="10" spans="1:21" s="41" customFormat="1" x14ac:dyDescent="0.25">
      <c r="B10" s="79">
        <v>0.25</v>
      </c>
      <c r="C10" s="80" t="s">
        <v>31</v>
      </c>
      <c r="D10" s="81" t="str">
        <f>IF(VLOOKUP($C10,Mensual!$D$6:$G$163,2,0)&lt;0,0,VLOOKUP($C10,Mensual!$D$6:$G$163,2,0))</f>
        <v>Dólares</v>
      </c>
      <c r="E10" s="54">
        <f>IF(VLOOKUP($C10,Mensual!$D$6:$G$163,3,0)&lt;0,0,VLOOKUP($C10,Mensual!$D$6:$G$163,3,0))</f>
        <v>0.2</v>
      </c>
      <c r="F10" s="54">
        <f>IF(VLOOKUP($C10,Mensual!$D$6:$G$163,4,0)&lt;0,0,VLOOKUP($C10,Mensual!$D$6:$G$163,4,0))</f>
        <v>1.03</v>
      </c>
      <c r="G10" s="54">
        <f>IF(VLOOKUP($C10,Mensual!$D$6:$H$163,5,0)&lt;0,0,VLOOKUP($C10,Mensual!$D$6:$H$163,5,0))</f>
        <v>1</v>
      </c>
      <c r="H10" s="54">
        <f t="shared" si="0"/>
        <v>0.25</v>
      </c>
      <c r="I10" s="82"/>
      <c r="J10" s="82"/>
      <c r="K10" s="82"/>
      <c r="L10" s="82"/>
      <c r="M10" s="83"/>
      <c r="N10" s="83"/>
      <c r="O10" s="83"/>
      <c r="P10" s="83"/>
      <c r="Q10" s="83"/>
      <c r="R10" s="83"/>
      <c r="S10" s="83"/>
    </row>
    <row r="11" spans="1:21" x14ac:dyDescent="0.25">
      <c r="B11" s="1">
        <f>SUM(B6:B10)</f>
        <v>1</v>
      </c>
      <c r="C11" s="2"/>
      <c r="D11" s="1"/>
      <c r="E11" s="1"/>
      <c r="F11" s="1"/>
      <c r="G11" s="1"/>
      <c r="H11" s="35">
        <f>SUM(H6:H10)</f>
        <v>0.80812500000000009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21" x14ac:dyDescent="0.25">
      <c r="C12" s="2"/>
    </row>
    <row r="14" spans="1:21" x14ac:dyDescent="0.25">
      <c r="C14" s="95" t="s">
        <v>61</v>
      </c>
    </row>
    <row r="15" spans="1:21" x14ac:dyDescent="0.25">
      <c r="C15" s="96" t="s">
        <v>65</v>
      </c>
    </row>
    <row r="16" spans="1:21" x14ac:dyDescent="0.25">
      <c r="C16" s="96"/>
    </row>
    <row r="17" spans="3:3" x14ac:dyDescent="0.25">
      <c r="C17" s="96"/>
    </row>
    <row r="18" spans="3:3" x14ac:dyDescent="0.25">
      <c r="C18" s="96"/>
    </row>
    <row r="19" spans="3:3" x14ac:dyDescent="0.25">
      <c r="C19" s="96"/>
    </row>
  </sheetData>
  <mergeCells count="1">
    <mergeCell ref="D2:F2"/>
  </mergeCells>
  <dataValidations count="1">
    <dataValidation type="list" allowBlank="1" showInputMessage="1" showErrorMessage="1" sqref="C15:C19" xr:uid="{00000000-0002-0000-0A00-000000000000}">
      <formula1>INDIRECT($D$2)</formula1>
    </dataValidation>
  </dataValidation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1000000}">
          <x14:formula1>
            <xm:f>Acumulado!$C$3:$C$661</xm:f>
          </x14:formula1>
          <xm:sqref>C6</xm:sqref>
        </x14:dataValidation>
        <x14:dataValidation type="list" allowBlank="1" showInputMessage="1" showErrorMessage="1" xr:uid="{00000000-0002-0000-0A00-000002000000}">
          <x14:formula1>
            <xm:f>Listados!$A$1:$L$1</xm:f>
          </x14:formula1>
          <xm:sqref>D2:F2</xm:sqref>
        </x14:dataValidation>
        <x14:dataValidation type="list" allowBlank="1" showInputMessage="1" showErrorMessage="1" xr:uid="{00000000-0002-0000-0A00-000003000000}">
          <x14:formula1>
            <xm:f>Acumulado!$C$3:$C$131</xm:f>
          </x14:formula1>
          <xm:sqref>C7:C10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/>
  </sheetPr>
  <dimension ref="A1:U23"/>
  <sheetViews>
    <sheetView showGridLines="0" zoomScaleNormal="100" workbookViewId="0">
      <selection activeCell="D11" sqref="D11"/>
    </sheetView>
  </sheetViews>
  <sheetFormatPr baseColWidth="10" defaultColWidth="11.42578125" defaultRowHeight="15" x14ac:dyDescent="0.25"/>
  <cols>
    <col min="3" max="3" width="65.85546875" bestFit="1" customWidth="1"/>
    <col min="4" max="4" width="19.5703125" customWidth="1"/>
    <col min="5" max="5" width="13.85546875" bestFit="1" customWidth="1"/>
    <col min="6" max="6" width="12.85546875" bestFit="1" customWidth="1"/>
    <col min="7" max="7" width="11.42578125" customWidth="1"/>
    <col min="8" max="8" width="19.140625" customWidth="1"/>
    <col min="9" max="9" width="13.7109375" bestFit="1" customWidth="1"/>
  </cols>
  <sheetData>
    <row r="1" spans="1:21" x14ac:dyDescent="0.25">
      <c r="I1" s="38">
        <v>0.9</v>
      </c>
      <c r="J1" s="41"/>
    </row>
    <row r="2" spans="1:21" x14ac:dyDescent="0.25">
      <c r="C2" s="7" t="s">
        <v>2</v>
      </c>
      <c r="D2" s="244" t="s">
        <v>16</v>
      </c>
      <c r="E2" s="244"/>
      <c r="F2" s="244"/>
      <c r="I2" s="39" t="s">
        <v>1</v>
      </c>
      <c r="J2" s="42"/>
    </row>
    <row r="3" spans="1:21" x14ac:dyDescent="0.25">
      <c r="C3" s="2"/>
      <c r="I3" s="39" t="s">
        <v>4</v>
      </c>
      <c r="J3" s="40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x14ac:dyDescent="0.25">
      <c r="A6">
        <f>+Mensual!B6</f>
        <v>4</v>
      </c>
      <c r="B6" s="3">
        <v>0.3</v>
      </c>
      <c r="C6" s="15" t="s">
        <v>7</v>
      </c>
      <c r="D6" s="33" t="str">
        <f>IF(VLOOKUP($C6,Mensual!$D$6:$G$163,2,0)&lt;0,0,VLOOKUP($C6,Mensual!$D$6:$G$163,2,0))</f>
        <v>RESULTADO SCORECARD</v>
      </c>
      <c r="E6" s="4">
        <f>IF(VLOOKUP($C6,Mensual!$D$6:$G$163,3,0)&lt;0,0,VLOOKUP($C6,Mensual!$D$6:$G$163,3,0))</f>
        <v>1</v>
      </c>
      <c r="F6" s="4">
        <f>IF(VLOOKUP($C6,Mensual!$D$6:$G$163,4,0)&lt;0,0,VLOOKUP($C6,Mensual!$D$6:$G$163,4,0))</f>
        <v>1.0325000000000002</v>
      </c>
      <c r="G6" s="4">
        <f>IF(VLOOKUP($C6,Mensual!$D$6:$H$163,5,0)&lt;0,0,VLOOKUP($C6,Mensual!$D$6:$H$163,5,0))</f>
        <v>1.0325000000000002</v>
      </c>
      <c r="H6" s="4">
        <f>+G6*B6</f>
        <v>0.30975000000000003</v>
      </c>
      <c r="I6" s="31">
        <f>+Mensual!J6</f>
        <v>0</v>
      </c>
      <c r="J6" s="31">
        <f>+Mensual!K6</f>
        <v>0</v>
      </c>
      <c r="K6" s="31">
        <f>+Mensual!L6</f>
        <v>0</v>
      </c>
      <c r="L6" s="31">
        <f>+Mensual!M6</f>
        <v>0</v>
      </c>
      <c r="M6" s="3"/>
      <c r="N6" s="3"/>
      <c r="O6" s="3"/>
      <c r="P6" s="3"/>
      <c r="Q6" s="3"/>
      <c r="R6" s="3"/>
      <c r="S6" s="3"/>
    </row>
    <row r="7" spans="1:21" s="41" customFormat="1" x14ac:dyDescent="0.25">
      <c r="B7" s="79">
        <v>0.1</v>
      </c>
      <c r="C7" s="80" t="s">
        <v>19</v>
      </c>
      <c r="D7" s="81" t="str">
        <f>IF(VLOOKUP($C7,Mensual!$D$6:$G$163,2,0)&lt;0,0,VLOOKUP($C7,Mensual!$D$6:$G$163,2,0))</f>
        <v>%</v>
      </c>
      <c r="E7" s="54">
        <f>IF(VLOOKUP($C7,Mensual!$D$6:$G$163,3,0)&lt;0,0,VLOOKUP($C7,Mensual!$D$6:$G$163,3,0))</f>
        <v>0.1</v>
      </c>
      <c r="F7" s="54">
        <f>IF(VLOOKUP($C7,Mensual!$D$6:$G$163,4,0)&lt;0,0,VLOOKUP($C7,Mensual!$D$6:$G$163,4,0))</f>
        <v>0.32</v>
      </c>
      <c r="G7" s="54">
        <f>IF(VLOOKUP($C7,Mensual!$D$6:$H$163,5,0)&lt;0,0,VLOOKUP($C7,Mensual!$D$6:$H$163,5,0))</f>
        <v>1</v>
      </c>
      <c r="H7" s="54">
        <f t="shared" ref="H7:H14" si="0">+G7*B7</f>
        <v>0.1</v>
      </c>
      <c r="I7" s="82"/>
      <c r="J7" s="82"/>
      <c r="K7" s="82"/>
      <c r="L7" s="82"/>
      <c r="M7" s="83"/>
      <c r="N7" s="83"/>
      <c r="O7" s="83"/>
      <c r="P7" s="83"/>
      <c r="Q7" s="83"/>
      <c r="R7" s="83"/>
      <c r="S7" s="83"/>
    </row>
    <row r="8" spans="1:21" s="41" customFormat="1" x14ac:dyDescent="0.25">
      <c r="B8" s="79">
        <v>0.05</v>
      </c>
      <c r="C8" s="80" t="s">
        <v>20</v>
      </c>
      <c r="D8" s="81">
        <f>IF(VLOOKUP($C8,Mensual!$D$6:$G$163,2,0)&lt;0,0,VLOOKUP($C8,Mensual!$D$6:$G$163,2,0))</f>
        <v>0</v>
      </c>
      <c r="E8" s="54">
        <f>IF(VLOOKUP($C8,Mensual!$D$6:$G$163,3,0)&lt;0,0,VLOOKUP($C8,Mensual!$D$6:$G$163,3,0))</f>
        <v>0</v>
      </c>
      <c r="F8" s="54">
        <f>IF(VLOOKUP($C8,Mensual!$D$6:$G$163,4,0)&lt;0,0,VLOOKUP($C8,Mensual!$D$6:$G$163,4,0))</f>
        <v>0</v>
      </c>
      <c r="G8" s="54">
        <f>IF(VLOOKUP($C8,Mensual!$D$6:$H$163,5,0)&lt;0,0,VLOOKUP($C8,Mensual!$D$6:$H$163,5,0))</f>
        <v>1</v>
      </c>
      <c r="H8" s="54">
        <f t="shared" si="0"/>
        <v>0.05</v>
      </c>
      <c r="I8" s="82"/>
      <c r="J8" s="82"/>
      <c r="K8" s="82"/>
      <c r="L8" s="82"/>
      <c r="M8" s="83"/>
      <c r="N8" s="83"/>
      <c r="O8" s="83"/>
      <c r="P8" s="83"/>
      <c r="Q8" s="83"/>
      <c r="R8" s="83"/>
      <c r="S8" s="83"/>
    </row>
    <row r="9" spans="1:21" s="41" customFormat="1" x14ac:dyDescent="0.25">
      <c r="B9" s="79">
        <v>0.05</v>
      </c>
      <c r="C9" s="80" t="s">
        <v>28</v>
      </c>
      <c r="D9" s="81">
        <f>IF(VLOOKUP($C9,Mensual!$D$6:$G$163,2,0)&lt;0,0,VLOOKUP($C9,Mensual!$D$6:$G$163,2,0))</f>
        <v>0</v>
      </c>
      <c r="E9" s="54">
        <f>IF(VLOOKUP($C9,Mensual!$D$6:$G$163,3,0)&lt;0,0,VLOOKUP($C9,Mensual!$D$6:$G$163,3,0))</f>
        <v>0.05</v>
      </c>
      <c r="F9" s="54">
        <f>IF(VLOOKUP($C9,Mensual!$D$6:$G$163,4,0)&lt;0,0,VLOOKUP($C9,Mensual!$D$6:$G$163,4,0))</f>
        <v>0.05</v>
      </c>
      <c r="G9" s="54">
        <f>IF(VLOOKUP($C9,Mensual!$D$6:$H$163,5,0)&lt;0,0,VLOOKUP($C9,Mensual!$D$6:$H$163,5,0))</f>
        <v>1</v>
      </c>
      <c r="H9" s="54">
        <f t="shared" si="0"/>
        <v>0.05</v>
      </c>
      <c r="I9" s="82"/>
      <c r="J9" s="82"/>
      <c r="K9" s="82"/>
      <c r="L9" s="82"/>
      <c r="M9" s="83"/>
      <c r="N9" s="83"/>
      <c r="O9" s="83"/>
      <c r="P9" s="83"/>
      <c r="Q9" s="83"/>
      <c r="R9" s="83"/>
      <c r="S9" s="83"/>
    </row>
    <row r="10" spans="1:21" s="41" customFormat="1" x14ac:dyDescent="0.25">
      <c r="B10" s="79">
        <v>0.1</v>
      </c>
      <c r="C10" s="80" t="s">
        <v>29</v>
      </c>
      <c r="D10" s="81">
        <f>IF(VLOOKUP($C10,Mensual!$D$6:$G$163,2,0)&lt;0,0,VLOOKUP($C10,Mensual!$D$6:$G$163,2,0))</f>
        <v>0</v>
      </c>
      <c r="E10" s="54">
        <f>IF(VLOOKUP($C10,Mensual!$D$6:$G$163,3,0)&lt;0,0,VLOOKUP($C10,Mensual!$D$6:$G$163,3,0))</f>
        <v>0.05</v>
      </c>
      <c r="F10" s="54">
        <f>IF(VLOOKUP($C10,Mensual!$D$6:$G$163,4,0)&lt;0,0,VLOOKUP($C10,Mensual!$D$6:$G$163,4,0))</f>
        <v>1</v>
      </c>
      <c r="G10" s="54">
        <f>IF(VLOOKUP($C10,Mensual!$D$6:$H$163,5,0)&lt;0,0,VLOOKUP($C10,Mensual!$D$6:$H$163,5,0))</f>
        <v>1</v>
      </c>
      <c r="H10" s="54">
        <f t="shared" si="0"/>
        <v>0.1</v>
      </c>
      <c r="I10" s="82"/>
      <c r="J10" s="82"/>
      <c r="K10" s="82"/>
      <c r="L10" s="82"/>
      <c r="M10" s="83"/>
      <c r="N10" s="83"/>
      <c r="O10" s="83"/>
      <c r="P10" s="83"/>
      <c r="Q10" s="83"/>
      <c r="R10" s="83"/>
      <c r="S10" s="83"/>
    </row>
    <row r="11" spans="1:21" s="41" customFormat="1" x14ac:dyDescent="0.25">
      <c r="B11" s="79">
        <v>0.1</v>
      </c>
      <c r="C11" s="80" t="s">
        <v>30</v>
      </c>
      <c r="D11" s="81" t="str">
        <f>IF(VLOOKUP($C11,Mensual!$D$6:$G$163,2,0)&lt;0,0,VLOOKUP($C11,Mensual!$D$6:$G$163,2,0))</f>
        <v># de cierres a tiempo</v>
      </c>
      <c r="E11" s="54">
        <f>IF(VLOOKUP($C11,Mensual!$D$6:$G$163,3,0)&lt;0,0,VLOOKUP($C11,Mensual!$D$6:$G$163,3,0))</f>
        <v>6</v>
      </c>
      <c r="F11" s="54">
        <f>IF(VLOOKUP($C11,Mensual!$D$6:$G$163,4,0)&lt;0,0,VLOOKUP($C11,Mensual!$D$6:$G$163,4,0))</f>
        <v>6</v>
      </c>
      <c r="G11" s="54">
        <f>IF(VLOOKUP($C11,Mensual!$D$6:$H$163,5,0)&lt;0,0,VLOOKUP($C11,Mensual!$D$6:$H$163,5,0))</f>
        <v>1</v>
      </c>
      <c r="H11" s="54">
        <f t="shared" si="0"/>
        <v>0.1</v>
      </c>
      <c r="I11" s="82"/>
      <c r="J11" s="82"/>
      <c r="K11" s="82"/>
      <c r="L11" s="82"/>
      <c r="M11" s="83"/>
      <c r="N11" s="83"/>
      <c r="O11" s="83"/>
      <c r="P11" s="83"/>
      <c r="Q11" s="83"/>
      <c r="R11" s="83"/>
      <c r="S11" s="83"/>
    </row>
    <row r="12" spans="1:21" s="41" customFormat="1" x14ac:dyDescent="0.25">
      <c r="B12" s="79">
        <v>0.1</v>
      </c>
      <c r="C12" s="80" t="s">
        <v>26</v>
      </c>
      <c r="D12" s="81" t="str">
        <f>IF(VLOOKUP($C12,Mensual!$D$6:$G$163,2,0)&lt;0,0,VLOOKUP($C12,Mensual!$D$6:$G$163,2,0))</f>
        <v>%</v>
      </c>
      <c r="E12" s="54">
        <f>IF(VLOOKUP($C12,Mensual!$D$6:$G$163,3,0)&lt;0,0,VLOOKUP($C12,Mensual!$D$6:$G$163,3,0))</f>
        <v>0.05</v>
      </c>
      <c r="F12" s="54">
        <f>IF(VLOOKUP($C12,Mensual!$D$6:$G$163,4,0)&lt;0,0,VLOOKUP($C12,Mensual!$D$6:$G$163,4,0))</f>
        <v>0.05</v>
      </c>
      <c r="G12" s="54">
        <f>IF(VLOOKUP($C12,Mensual!$D$6:$H$163,5,0)&lt;0,0,VLOOKUP($C12,Mensual!$D$6:$H$163,5,0))</f>
        <v>1</v>
      </c>
      <c r="H12" s="54">
        <f t="shared" si="0"/>
        <v>0.1</v>
      </c>
      <c r="I12" s="82"/>
      <c r="J12" s="82"/>
      <c r="K12" s="82"/>
      <c r="L12" s="82"/>
      <c r="M12" s="83"/>
      <c r="N12" s="83"/>
      <c r="O12" s="83"/>
      <c r="P12" s="83"/>
      <c r="Q12" s="83"/>
      <c r="R12" s="83"/>
      <c r="S12" s="83"/>
    </row>
    <row r="13" spans="1:21" s="41" customFormat="1" x14ac:dyDescent="0.25">
      <c r="B13" s="79">
        <v>0.1</v>
      </c>
      <c r="C13" s="80" t="s">
        <v>22</v>
      </c>
      <c r="D13" s="81">
        <f>IF(VLOOKUP($C13,Mensual!$D$6:$G$163,2,0)&lt;0,0,VLOOKUP($C13,Mensual!$D$6:$G$163,2,0))</f>
        <v>0</v>
      </c>
      <c r="E13" s="54">
        <f>IF(VLOOKUP($C13,Mensual!$D$6:$G$163,3,0)&lt;0,0,VLOOKUP($C13,Mensual!$D$6:$G$163,3,0))</f>
        <v>0.1</v>
      </c>
      <c r="F13" s="54">
        <f>IF(VLOOKUP($C13,Mensual!$D$6:$G$163,4,0)&lt;0,0,VLOOKUP($C13,Mensual!$D$6:$G$163,4,0))</f>
        <v>0</v>
      </c>
      <c r="G13" s="54">
        <f>IF(VLOOKUP($C13,Mensual!$D$6:$H$163,5,0)&lt;0,0,VLOOKUP($C13,Mensual!$D$6:$H$163,5,0))</f>
        <v>0</v>
      </c>
      <c r="H13" s="54">
        <f t="shared" ref="H13" si="1">+G13*B13</f>
        <v>0</v>
      </c>
      <c r="I13" s="82"/>
      <c r="J13" s="82"/>
      <c r="K13" s="82"/>
      <c r="L13" s="82"/>
      <c r="M13" s="83"/>
      <c r="N13" s="83"/>
      <c r="O13" s="83"/>
      <c r="P13" s="83"/>
      <c r="Q13" s="83"/>
      <c r="R13" s="83"/>
      <c r="S13" s="83"/>
    </row>
    <row r="14" spans="1:21" s="41" customFormat="1" x14ac:dyDescent="0.25">
      <c r="B14" s="79">
        <v>0.1</v>
      </c>
      <c r="C14" s="80" t="s">
        <v>66</v>
      </c>
      <c r="D14" s="81" t="str">
        <f>IF(VLOOKUP($C14,Mensual!$D$6:$G$163,2,0)&lt;0,0,VLOOKUP($C14,Mensual!$D$6:$G$163,2,0))</f>
        <v># notas de credito</v>
      </c>
      <c r="E14" s="54">
        <f>IF(VLOOKUP($C14,Mensual!$D$6:$G$163,3,0)&lt;0,0,VLOOKUP($C14,Mensual!$D$6:$G$163,3,0))</f>
        <v>0</v>
      </c>
      <c r="F14" s="54">
        <f>IF(VLOOKUP($C14,Mensual!$D$6:$G$163,4,0)&lt;0,0,VLOOKUP($C14,Mensual!$D$6:$G$163,4,0))</f>
        <v>0</v>
      </c>
      <c r="G14" s="54">
        <f>IF(VLOOKUP($C14,Mensual!$D$6:$H$163,5,0)&lt;0,0,VLOOKUP($C14,Mensual!$D$6:$H$163,5,0))</f>
        <v>0</v>
      </c>
      <c r="H14" s="54">
        <f t="shared" si="0"/>
        <v>0</v>
      </c>
      <c r="I14" s="82"/>
      <c r="J14" s="82"/>
      <c r="K14" s="82"/>
      <c r="L14" s="82"/>
      <c r="M14" s="83"/>
      <c r="N14" s="83"/>
      <c r="O14" s="83"/>
      <c r="P14" s="83"/>
      <c r="Q14" s="83"/>
      <c r="R14" s="83"/>
      <c r="S14" s="83"/>
    </row>
    <row r="15" spans="1:21" x14ac:dyDescent="0.25">
      <c r="B15" s="1">
        <f>SUM(B6:B14)</f>
        <v>0.99999999999999989</v>
      </c>
      <c r="C15" s="2"/>
      <c r="D15" s="1"/>
      <c r="E15" s="1"/>
      <c r="F15" s="1"/>
      <c r="G15" s="1"/>
      <c r="H15" s="35">
        <f>SUM(H6:H14)</f>
        <v>0.80974999999999997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21" x14ac:dyDescent="0.25">
      <c r="C16" s="2"/>
    </row>
    <row r="18" spans="3:3" x14ac:dyDescent="0.25">
      <c r="C18" s="95" t="s">
        <v>61</v>
      </c>
    </row>
    <row r="19" spans="3:3" x14ac:dyDescent="0.25">
      <c r="C19" s="96" t="s">
        <v>67</v>
      </c>
    </row>
    <row r="20" spans="3:3" x14ac:dyDescent="0.25">
      <c r="C20" s="96" t="s">
        <v>68</v>
      </c>
    </row>
    <row r="21" spans="3:3" x14ac:dyDescent="0.25">
      <c r="C21" s="96"/>
    </row>
    <row r="22" spans="3:3" x14ac:dyDescent="0.25">
      <c r="C22" s="96"/>
    </row>
    <row r="23" spans="3:3" x14ac:dyDescent="0.25">
      <c r="C23" s="96"/>
    </row>
  </sheetData>
  <mergeCells count="1">
    <mergeCell ref="D2:F2"/>
  </mergeCells>
  <dataValidations count="1">
    <dataValidation type="list" allowBlank="1" showInputMessage="1" showErrorMessage="1" sqref="C19:C23" xr:uid="{00000000-0002-0000-0B00-000000000000}">
      <formula1>INDIRECT($D$2)</formula1>
    </dataValidation>
  </dataValidation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1000000}">
          <x14:formula1>
            <xm:f>Listados!$A$1:$L$1</xm:f>
          </x14:formula1>
          <xm:sqref>D2:F2</xm:sqref>
        </x14:dataValidation>
        <x14:dataValidation type="list" allowBlank="1" showInputMessage="1" showErrorMessage="1" xr:uid="{00000000-0002-0000-0B00-000002000000}">
          <x14:formula1>
            <xm:f>Acumulado!$C$3:$C$661</xm:f>
          </x14:formula1>
          <xm:sqref>C6</xm:sqref>
        </x14:dataValidation>
        <x14:dataValidation type="list" allowBlank="1" showInputMessage="1" showErrorMessage="1" xr:uid="{00000000-0002-0000-0B00-000003000000}">
          <x14:formula1>
            <xm:f>Acumulado!$C$3:$C$131</xm:f>
          </x14:formula1>
          <xm:sqref>C7:C14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/>
  </sheetPr>
  <dimension ref="A1:U23"/>
  <sheetViews>
    <sheetView showGridLines="0" zoomScale="115" zoomScaleNormal="115" workbookViewId="0">
      <selection activeCell="E10" sqref="E10:F10"/>
    </sheetView>
  </sheetViews>
  <sheetFormatPr baseColWidth="10" defaultColWidth="11.42578125" defaultRowHeight="15" x14ac:dyDescent="0.25"/>
  <cols>
    <col min="3" max="3" width="65.85546875" bestFit="1" customWidth="1"/>
    <col min="4" max="4" width="19.5703125" customWidth="1"/>
    <col min="5" max="5" width="13.85546875" bestFit="1" customWidth="1"/>
    <col min="6" max="6" width="12.85546875" bestFit="1" customWidth="1"/>
    <col min="7" max="7" width="11.42578125" customWidth="1"/>
    <col min="8" max="8" width="19.140625" customWidth="1"/>
    <col min="9" max="9" width="13.7109375" bestFit="1" customWidth="1"/>
  </cols>
  <sheetData>
    <row r="1" spans="1:21" x14ac:dyDescent="0.25">
      <c r="I1" s="38">
        <v>0.9</v>
      </c>
      <c r="J1" s="41"/>
    </row>
    <row r="2" spans="1:21" x14ac:dyDescent="0.25">
      <c r="C2" s="7" t="s">
        <v>2</v>
      </c>
      <c r="D2" s="244" t="s">
        <v>16</v>
      </c>
      <c r="E2" s="244"/>
      <c r="F2" s="244"/>
      <c r="I2" s="39" t="s">
        <v>1</v>
      </c>
      <c r="J2" s="42"/>
    </row>
    <row r="3" spans="1:21" x14ac:dyDescent="0.25">
      <c r="C3" s="2"/>
      <c r="I3" s="39" t="s">
        <v>4</v>
      </c>
      <c r="J3" s="40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x14ac:dyDescent="0.25">
      <c r="A6">
        <f>+Mensual!B6</f>
        <v>4</v>
      </c>
      <c r="B6" s="3">
        <v>0.25</v>
      </c>
      <c r="C6" s="15" t="s">
        <v>7</v>
      </c>
      <c r="D6" s="33" t="str">
        <f>IF(VLOOKUP($C6,Mensual!$D$6:$G$163,2,0)&lt;0,0,VLOOKUP($C6,Mensual!$D$6:$G$163,2,0))</f>
        <v>RESULTADO SCORECARD</v>
      </c>
      <c r="E6" s="4">
        <f>IF(VLOOKUP($C6,Mensual!$D$6:$G$163,3,0)&lt;0,0,VLOOKUP($C6,Mensual!$D$6:$G$163,3,0))</f>
        <v>1</v>
      </c>
      <c r="F6" s="4">
        <f>IF(VLOOKUP($C6,Mensual!$D$6:$G$163,4,0)&lt;0,0,VLOOKUP($C6,Mensual!$D$6:$G$163,4,0))</f>
        <v>1.0325000000000002</v>
      </c>
      <c r="G6" s="4">
        <f>IF(VLOOKUP($C6,Mensual!$D$6:$H$163,5,0)&lt;0,0,VLOOKUP($C6,Mensual!$D$6:$H$163,5,0))</f>
        <v>1.0325000000000002</v>
      </c>
      <c r="H6" s="4">
        <f>+G6*B6</f>
        <v>0.25812500000000005</v>
      </c>
      <c r="I6" s="31">
        <f>+Mensual!J6</f>
        <v>0</v>
      </c>
      <c r="J6" s="31">
        <f>+Mensual!K6</f>
        <v>0</v>
      </c>
      <c r="K6" s="31">
        <f>+Mensual!L6</f>
        <v>0</v>
      </c>
      <c r="L6" s="31">
        <f>+Mensual!M6</f>
        <v>0</v>
      </c>
      <c r="M6" s="3"/>
      <c r="N6" s="3"/>
      <c r="O6" s="3"/>
      <c r="P6" s="3"/>
      <c r="Q6" s="3"/>
      <c r="R6" s="3"/>
      <c r="S6" s="3"/>
    </row>
    <row r="7" spans="1:21" x14ac:dyDescent="0.25">
      <c r="B7" s="3">
        <v>0.05</v>
      </c>
      <c r="C7" s="15" t="s">
        <v>19</v>
      </c>
      <c r="D7" s="33" t="str">
        <f>IF(VLOOKUP($C7,Mensual!$D$6:$G$163,2,0)&lt;0,0,VLOOKUP($C7,Mensual!$D$6:$G$163,2,0))</f>
        <v>%</v>
      </c>
      <c r="E7" s="4">
        <f>IF(VLOOKUP($C7,Mensual!$D$6:$G$163,3,0)&lt;0,0,VLOOKUP($C7,Mensual!$D$6:$G$163,3,0))</f>
        <v>0.1</v>
      </c>
      <c r="F7" s="4">
        <f>IF(VLOOKUP($C7,Mensual!$D$6:$G$163,4,0)&lt;0,0,VLOOKUP($C7,Mensual!$D$6:$G$163,4,0))</f>
        <v>0.32</v>
      </c>
      <c r="G7" s="4">
        <f>IF(VLOOKUP($C7,Mensual!$D$6:$H$163,5,0)&lt;0,0,VLOOKUP($C7,Mensual!$D$6:$H$163,5,0))</f>
        <v>1</v>
      </c>
      <c r="H7" s="4">
        <f t="shared" ref="H7:H14" si="0">+G7*B7</f>
        <v>0.05</v>
      </c>
      <c r="I7" s="36"/>
      <c r="J7" s="36"/>
      <c r="K7" s="36"/>
      <c r="L7" s="36"/>
      <c r="M7" s="1"/>
      <c r="N7" s="1"/>
      <c r="O7" s="1"/>
      <c r="P7" s="1"/>
      <c r="Q7" s="1"/>
      <c r="R7" s="1"/>
      <c r="S7" s="1"/>
    </row>
    <row r="8" spans="1:21" x14ac:dyDescent="0.25">
      <c r="B8" s="3">
        <v>0.05</v>
      </c>
      <c r="C8" s="15" t="s">
        <v>21</v>
      </c>
      <c r="D8" s="33">
        <f>IF(VLOOKUP($C8,Mensual!$D$6:$G$163,2,0)&lt;0,0,VLOOKUP($C8,Mensual!$D$6:$G$163,2,0))</f>
        <v>0</v>
      </c>
      <c r="E8" s="4">
        <f>IF(VLOOKUP($C8,Mensual!$D$6:$G$163,3,0)&lt;0,0,VLOOKUP($C8,Mensual!$D$6:$G$163,3,0))</f>
        <v>0.05</v>
      </c>
      <c r="F8" s="4">
        <f>IF(VLOOKUP($C8,Mensual!$D$6:$G$163,4,0)&lt;0,0,VLOOKUP($C8,Mensual!$D$6:$G$163,4,0))</f>
        <v>0</v>
      </c>
      <c r="G8" s="4">
        <f>IF(VLOOKUP($C8,Mensual!$D$6:$H$163,5,0)&lt;0,0,VLOOKUP($C8,Mensual!$D$6:$H$163,5,0))</f>
        <v>0</v>
      </c>
      <c r="H8" s="4">
        <f t="shared" si="0"/>
        <v>0</v>
      </c>
      <c r="I8" s="36"/>
      <c r="J8" s="36"/>
      <c r="K8" s="36"/>
      <c r="L8" s="36"/>
      <c r="M8" s="1"/>
      <c r="N8" s="1"/>
      <c r="O8" s="1"/>
      <c r="P8" s="1"/>
      <c r="Q8" s="1"/>
      <c r="R8" s="1"/>
      <c r="S8" s="1"/>
    </row>
    <row r="9" spans="1:21" x14ac:dyDescent="0.25">
      <c r="B9" s="3">
        <v>0.2</v>
      </c>
      <c r="C9" s="15" t="s">
        <v>24</v>
      </c>
      <c r="D9" s="33" t="str">
        <f>IF(VLOOKUP($C9,Mensual!$D$6:$G$163,2,0)&lt;0,0,VLOOKUP($C9,Mensual!$D$6:$G$163,2,0))</f>
        <v>$</v>
      </c>
      <c r="E9" s="4">
        <f>IF(VLOOKUP($C9,Mensual!$D$6:$G$163,3,0)&lt;0,0,VLOOKUP($C9,Mensual!$D$6:$G$163,3,0))</f>
        <v>0.05</v>
      </c>
      <c r="F9" s="4">
        <f>IF(VLOOKUP($C9,Mensual!$D$6:$G$163,4,0)&lt;0,0,VLOOKUP($C9,Mensual!$D$6:$G$163,4,0))</f>
        <v>0.6</v>
      </c>
      <c r="G9" s="4">
        <f>IF(VLOOKUP($C9,Mensual!$D$6:$H$163,5,0)&lt;0,0,VLOOKUP($C9,Mensual!$D$6:$H$163,5,0))</f>
        <v>1</v>
      </c>
      <c r="H9" s="4">
        <f t="shared" si="0"/>
        <v>0.2</v>
      </c>
      <c r="I9" s="36"/>
      <c r="J9" s="36"/>
      <c r="K9" s="36"/>
      <c r="L9" s="36"/>
      <c r="M9" s="1"/>
      <c r="N9" s="1"/>
      <c r="O9" s="1"/>
      <c r="P9" s="1"/>
      <c r="Q9" s="1"/>
      <c r="R9" s="1"/>
      <c r="S9" s="1"/>
    </row>
    <row r="10" spans="1:21" x14ac:dyDescent="0.25">
      <c r="B10" s="3">
        <v>0.2</v>
      </c>
      <c r="C10" s="15" t="s">
        <v>25</v>
      </c>
      <c r="D10" s="33">
        <f>IF(VLOOKUP($C10,Mensual!$D$6:$G$163,2,0)&lt;0,0,VLOOKUP($C10,Mensual!$D$6:$G$163,2,0))</f>
        <v>0</v>
      </c>
      <c r="E10" s="33">
        <f>IF(VLOOKUP($C10,Mensual!$D$6:$G$163,3,0)&lt;0,0,VLOOKUP($C10,Mensual!$D$6:$G$163,3,0))</f>
        <v>4500</v>
      </c>
      <c r="F10" s="33">
        <f>IF(VLOOKUP($C10,Mensual!$D$6:$G$163,4,0)&lt;0,0,VLOOKUP($C10,Mensual!$D$6:$G$163,4,0))</f>
        <v>4782</v>
      </c>
      <c r="G10" s="4">
        <f>IF(VLOOKUP($C10,Mensual!$D$6:$H$163,5,0)&lt;0,0,VLOOKUP($C10,Mensual!$D$6:$H$163,5,0))</f>
        <v>1</v>
      </c>
      <c r="H10" s="4">
        <f t="shared" si="0"/>
        <v>0.2</v>
      </c>
      <c r="I10" s="36"/>
      <c r="J10" s="36"/>
      <c r="K10" s="36"/>
      <c r="L10" s="36"/>
      <c r="M10" s="1"/>
      <c r="N10" s="1"/>
      <c r="O10" s="1"/>
      <c r="P10" s="1"/>
      <c r="Q10" s="1"/>
      <c r="R10" s="1"/>
      <c r="S10" s="1"/>
    </row>
    <row r="11" spans="1:21" x14ac:dyDescent="0.25">
      <c r="B11" s="3">
        <v>0.1</v>
      </c>
      <c r="C11" s="15" t="s">
        <v>27</v>
      </c>
      <c r="D11" s="33" t="str">
        <f>IF(VLOOKUP($C11,Mensual!$D$6:$G$163,2,0)&lt;0,0,VLOOKUP($C11,Mensual!$D$6:$G$163,2,0))</f>
        <v>cabezal</v>
      </c>
      <c r="E11" s="4">
        <f>IF(VLOOKUP($C11,Mensual!$D$6:$G$163,3,0)&lt;0,0,VLOOKUP($C11,Mensual!$D$6:$G$163,3,0))</f>
        <v>1</v>
      </c>
      <c r="F11" s="4">
        <f>IF(VLOOKUP($C11,Mensual!$D$6:$G$163,4,0)&lt;0,0,VLOOKUP($C11,Mensual!$D$6:$G$163,4,0))</f>
        <v>1</v>
      </c>
      <c r="G11" s="4">
        <f>IF(VLOOKUP($C11,Mensual!$D$6:$H$163,5,0)&lt;0,0,VLOOKUP($C11,Mensual!$D$6:$H$163,5,0))</f>
        <v>0</v>
      </c>
      <c r="H11" s="4">
        <f t="shared" si="0"/>
        <v>0</v>
      </c>
      <c r="I11" s="36"/>
      <c r="J11" s="36"/>
      <c r="K11" s="36"/>
      <c r="L11" s="36"/>
      <c r="M11" s="1"/>
      <c r="N11" s="1"/>
      <c r="O11" s="1"/>
      <c r="P11" s="1"/>
      <c r="Q11" s="1"/>
      <c r="R11" s="1"/>
      <c r="S11" s="1"/>
    </row>
    <row r="12" spans="1:21" x14ac:dyDescent="0.25">
      <c r="B12" s="3">
        <v>0.05</v>
      </c>
      <c r="C12" s="15" t="s">
        <v>28</v>
      </c>
      <c r="D12" s="33">
        <f>IF(VLOOKUP($C12,Mensual!$D$6:$G$163,2,0)&lt;0,0,VLOOKUP($C12,Mensual!$D$6:$G$163,2,0))</f>
        <v>0</v>
      </c>
      <c r="E12" s="4">
        <f>IF(VLOOKUP($C12,Mensual!$D$6:$G$163,3,0)&lt;0,0,VLOOKUP($C12,Mensual!$D$6:$G$163,3,0))</f>
        <v>0.05</v>
      </c>
      <c r="F12" s="4">
        <f>IF(VLOOKUP($C12,Mensual!$D$6:$G$163,4,0)&lt;0,0,VLOOKUP($C12,Mensual!$D$6:$G$163,4,0))</f>
        <v>0.05</v>
      </c>
      <c r="G12" s="4">
        <f>IF(VLOOKUP($C12,Mensual!$D$6:$H$163,5,0)&lt;0,0,VLOOKUP($C12,Mensual!$D$6:$H$163,5,0))</f>
        <v>1</v>
      </c>
      <c r="H12" s="4">
        <f t="shared" si="0"/>
        <v>0.05</v>
      </c>
      <c r="I12" s="36"/>
      <c r="J12" s="36"/>
      <c r="K12" s="36"/>
      <c r="L12" s="36"/>
      <c r="M12" s="1"/>
      <c r="N12" s="1"/>
      <c r="O12" s="1"/>
      <c r="P12" s="1"/>
      <c r="Q12" s="1"/>
      <c r="R12" s="1"/>
      <c r="S12" s="1"/>
    </row>
    <row r="13" spans="1:21" x14ac:dyDescent="0.25">
      <c r="B13" s="3">
        <v>0.05</v>
      </c>
      <c r="C13" s="15" t="s">
        <v>29</v>
      </c>
      <c r="D13" s="33">
        <f>IF(VLOOKUP($C13,Mensual!$D$6:$G$163,2,0)&lt;0,0,VLOOKUP($C13,Mensual!$D$6:$G$163,2,0))</f>
        <v>0</v>
      </c>
      <c r="E13" s="4">
        <f>IF(VLOOKUP($C13,Mensual!$D$6:$G$163,3,0)&lt;0,0,VLOOKUP($C13,Mensual!$D$6:$G$163,3,0))</f>
        <v>0.05</v>
      </c>
      <c r="F13" s="4">
        <f>IF(VLOOKUP($C13,Mensual!$D$6:$G$163,4,0)&lt;0,0,VLOOKUP($C13,Mensual!$D$6:$G$163,4,0))</f>
        <v>1</v>
      </c>
      <c r="G13" s="4">
        <f>IF(VLOOKUP($C13,Mensual!$D$6:$H$163,5,0)&lt;0,0,VLOOKUP($C13,Mensual!$D$6:$H$163,5,0))</f>
        <v>1</v>
      </c>
      <c r="H13" s="4">
        <f t="shared" si="0"/>
        <v>0.05</v>
      </c>
      <c r="I13" s="36"/>
      <c r="J13" s="36"/>
      <c r="K13" s="36"/>
      <c r="L13" s="36"/>
      <c r="M13" s="1"/>
      <c r="N13" s="1"/>
      <c r="O13" s="1"/>
      <c r="P13" s="1"/>
      <c r="Q13" s="1"/>
      <c r="R13" s="1"/>
      <c r="S13" s="1"/>
    </row>
    <row r="14" spans="1:21" x14ac:dyDescent="0.25">
      <c r="B14" s="3">
        <v>0.05</v>
      </c>
      <c r="C14" s="15" t="s">
        <v>30</v>
      </c>
      <c r="D14" s="33" t="str">
        <f>IF(VLOOKUP($C14,Mensual!$D$6:$G$163,2,0)&lt;0,0,VLOOKUP($C14,Mensual!$D$6:$G$163,2,0))</f>
        <v># de cierres a tiempo</v>
      </c>
      <c r="E14" s="4">
        <f>IF(VLOOKUP($C14,Mensual!$D$6:$G$163,3,0)&lt;0,0,VLOOKUP($C14,Mensual!$D$6:$G$163,3,0))</f>
        <v>6</v>
      </c>
      <c r="F14" s="4">
        <f>IF(VLOOKUP($C14,Mensual!$D$6:$G$163,4,0)&lt;0,0,VLOOKUP($C14,Mensual!$D$6:$G$163,4,0))</f>
        <v>6</v>
      </c>
      <c r="G14" s="4">
        <f>IF(VLOOKUP($C14,Mensual!$D$6:$H$163,5,0)&lt;0,0,VLOOKUP($C14,Mensual!$D$6:$H$163,5,0))</f>
        <v>1</v>
      </c>
      <c r="H14" s="4">
        <f t="shared" si="0"/>
        <v>0.05</v>
      </c>
      <c r="I14" s="36"/>
      <c r="J14" s="36"/>
      <c r="K14" s="36"/>
      <c r="L14" s="36"/>
      <c r="M14" s="1"/>
      <c r="N14" s="1"/>
      <c r="O14" s="1"/>
      <c r="P14" s="1"/>
      <c r="Q14" s="1"/>
      <c r="R14" s="1"/>
      <c r="S14" s="1"/>
    </row>
    <row r="15" spans="1:21" x14ac:dyDescent="0.25">
      <c r="B15" s="1">
        <f>SUM(B6:B14)</f>
        <v>1</v>
      </c>
      <c r="C15" s="2"/>
      <c r="D15" s="1"/>
      <c r="E15" s="1"/>
      <c r="F15" s="1"/>
      <c r="G15" s="1"/>
      <c r="H15" s="35">
        <f>SUM(H6:H14)</f>
        <v>0.85812500000000025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21" x14ac:dyDescent="0.25">
      <c r="C16" s="2"/>
    </row>
    <row r="18" spans="3:3" x14ac:dyDescent="0.25">
      <c r="C18" s="95" t="s">
        <v>61</v>
      </c>
    </row>
    <row r="19" spans="3:3" x14ac:dyDescent="0.25">
      <c r="C19" s="96" t="s">
        <v>69</v>
      </c>
    </row>
    <row r="20" spans="3:3" x14ac:dyDescent="0.25">
      <c r="C20" s="96"/>
    </row>
    <row r="21" spans="3:3" x14ac:dyDescent="0.25">
      <c r="C21" s="96"/>
    </row>
    <row r="22" spans="3:3" x14ac:dyDescent="0.25">
      <c r="C22" s="96"/>
    </row>
    <row r="23" spans="3:3" x14ac:dyDescent="0.25">
      <c r="C23" s="96"/>
    </row>
  </sheetData>
  <mergeCells count="1">
    <mergeCell ref="D2:F2"/>
  </mergeCells>
  <dataValidations count="1">
    <dataValidation type="list" allowBlank="1" showInputMessage="1" showErrorMessage="1" sqref="C19:C23" xr:uid="{00000000-0002-0000-0C00-000000000000}">
      <formula1>INDIRECT($D$2)</formula1>
    </dataValidation>
  </dataValidation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C00-000001000000}">
          <x14:formula1>
            <xm:f>Acumulado!$C$3:$C$131</xm:f>
          </x14:formula1>
          <xm:sqref>C7:C14</xm:sqref>
        </x14:dataValidation>
        <x14:dataValidation type="list" allowBlank="1" showInputMessage="1" showErrorMessage="1" xr:uid="{00000000-0002-0000-0C00-000002000000}">
          <x14:formula1>
            <xm:f>Listados!$A$1:$L$1</xm:f>
          </x14:formula1>
          <xm:sqref>D2:F2</xm:sqref>
        </x14:dataValidation>
        <x14:dataValidation type="list" allowBlank="1" showInputMessage="1" showErrorMessage="1" xr:uid="{00000000-0002-0000-0C00-000003000000}">
          <x14:formula1>
            <xm:f>Acumulado!$C$3:$C$661</xm:f>
          </x14:formula1>
          <xm:sqref>C6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/>
  </sheetPr>
  <dimension ref="A1:U24"/>
  <sheetViews>
    <sheetView showGridLines="0" zoomScaleNormal="100" workbookViewId="0">
      <selection activeCell="C19" sqref="C19:C24"/>
    </sheetView>
  </sheetViews>
  <sheetFormatPr baseColWidth="10" defaultColWidth="11.42578125" defaultRowHeight="15" x14ac:dyDescent="0.25"/>
  <cols>
    <col min="3" max="3" width="65.85546875" bestFit="1" customWidth="1"/>
    <col min="4" max="4" width="19.5703125" customWidth="1"/>
    <col min="5" max="5" width="13.85546875" bestFit="1" customWidth="1"/>
    <col min="6" max="6" width="12.85546875" bestFit="1" customWidth="1"/>
    <col min="7" max="7" width="11.42578125" customWidth="1"/>
    <col min="8" max="8" width="19.140625" customWidth="1"/>
    <col min="9" max="9" width="13.7109375" bestFit="1" customWidth="1"/>
  </cols>
  <sheetData>
    <row r="1" spans="1:21" x14ac:dyDescent="0.25">
      <c r="I1" s="38">
        <v>0.9</v>
      </c>
      <c r="J1" s="41"/>
    </row>
    <row r="2" spans="1:21" x14ac:dyDescent="0.25">
      <c r="C2" s="7" t="s">
        <v>2</v>
      </c>
      <c r="D2" s="244" t="s">
        <v>16</v>
      </c>
      <c r="E2" s="244"/>
      <c r="F2" s="244"/>
      <c r="I2" s="39" t="s">
        <v>1</v>
      </c>
      <c r="J2" s="42"/>
    </row>
    <row r="3" spans="1:21" x14ac:dyDescent="0.25">
      <c r="C3" s="2"/>
      <c r="I3" s="39" t="s">
        <v>4</v>
      </c>
      <c r="J3" s="40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x14ac:dyDescent="0.25">
      <c r="A6">
        <f>+Mensual!B6</f>
        <v>4</v>
      </c>
      <c r="B6" s="3">
        <v>0.25</v>
      </c>
      <c r="C6" s="15" t="s">
        <v>7</v>
      </c>
      <c r="D6" s="33" t="str">
        <f>IF(VLOOKUP($C6,Mensual!$D$6:$G$163,2,0)&lt;0,0,VLOOKUP($C6,Mensual!$D$6:$G$163,2,0))</f>
        <v>RESULTADO SCORECARD</v>
      </c>
      <c r="E6" s="4">
        <f>IF(VLOOKUP($C6,Mensual!$D$6:$G$163,3,0)&lt;0,0,VLOOKUP($C6,Mensual!$D$6:$G$163,3,0))</f>
        <v>1</v>
      </c>
      <c r="F6" s="4">
        <f>IF(VLOOKUP($C6,Mensual!$D$6:$G$163,4,0)&lt;0,0,VLOOKUP($C6,Mensual!$D$6:$G$163,4,0))</f>
        <v>1.0325000000000002</v>
      </c>
      <c r="G6" s="4">
        <f>IF(VLOOKUP($C6,Mensual!$D$6:$H$163,5,0)&lt;0,0,VLOOKUP($C6,Mensual!$D$6:$H$163,5,0))</f>
        <v>1.0325000000000002</v>
      </c>
      <c r="H6" s="4">
        <f>+G6*B6</f>
        <v>0.25812500000000005</v>
      </c>
      <c r="I6" s="31">
        <f>+Mensual!J6</f>
        <v>0</v>
      </c>
      <c r="J6" s="31">
        <f>+Mensual!K6</f>
        <v>0</v>
      </c>
      <c r="K6" s="31">
        <f>+Mensual!L6</f>
        <v>0</v>
      </c>
      <c r="L6" s="31">
        <f>+Mensual!M6</f>
        <v>0</v>
      </c>
      <c r="M6" s="3"/>
      <c r="N6" s="3"/>
      <c r="O6" s="3"/>
      <c r="P6" s="3"/>
      <c r="Q6" s="3"/>
      <c r="R6" s="3"/>
      <c r="S6" s="3"/>
    </row>
    <row r="7" spans="1:21" x14ac:dyDescent="0.25">
      <c r="B7" s="3">
        <v>0.1</v>
      </c>
      <c r="C7" s="15" t="s">
        <v>19</v>
      </c>
      <c r="D7" s="33" t="str">
        <f>IF(VLOOKUP($C7,Mensual!$D$6:$G$163,2,0)&lt;0,0,VLOOKUP($C7,Mensual!$D$6:$G$163,2,0))</f>
        <v>%</v>
      </c>
      <c r="E7" s="4">
        <f>IF(VLOOKUP($C7,Mensual!$D$6:$G$163,3,0)&lt;0,0,VLOOKUP($C7,Mensual!$D$6:$G$163,3,0))</f>
        <v>0.1</v>
      </c>
      <c r="F7" s="4">
        <f>IF(VLOOKUP($C7,Mensual!$D$6:$G$163,4,0)&lt;0,0,VLOOKUP($C7,Mensual!$D$6:$G$163,4,0))</f>
        <v>0.32</v>
      </c>
      <c r="G7" s="4">
        <f>IF(VLOOKUP($C7,Mensual!$D$6:$H$163,5,0)&lt;0,0,VLOOKUP($C7,Mensual!$D$6:$H$163,5,0))</f>
        <v>1</v>
      </c>
      <c r="H7" s="4">
        <f t="shared" ref="H7:H15" si="0">+G7*B7</f>
        <v>0.1</v>
      </c>
      <c r="I7" s="36"/>
      <c r="J7" s="36"/>
      <c r="K7" s="36"/>
      <c r="L7" s="36"/>
      <c r="M7" s="1"/>
      <c r="N7" s="1"/>
      <c r="O7" s="1"/>
      <c r="P7" s="1"/>
      <c r="Q7" s="1"/>
      <c r="R7" s="1"/>
      <c r="S7" s="1"/>
    </row>
    <row r="8" spans="1:21" x14ac:dyDescent="0.25">
      <c r="B8" s="3">
        <v>0.2</v>
      </c>
      <c r="C8" s="15" t="s">
        <v>21</v>
      </c>
      <c r="D8" s="33">
        <f>IF(VLOOKUP($C8,Mensual!$D$6:$G$163,2,0)&lt;0,0,VLOOKUP($C8,Mensual!$D$6:$G$163,2,0))</f>
        <v>0</v>
      </c>
      <c r="E8" s="4">
        <f>IF(VLOOKUP($C8,Mensual!$D$6:$G$163,3,0)&lt;0,0,VLOOKUP($C8,Mensual!$D$6:$G$163,3,0))</f>
        <v>0.05</v>
      </c>
      <c r="F8" s="4">
        <f>IF(VLOOKUP($C8,Mensual!$D$6:$G$163,4,0)&lt;0,0,VLOOKUP($C8,Mensual!$D$6:$G$163,4,0))</f>
        <v>0</v>
      </c>
      <c r="G8" s="4">
        <f>IF(VLOOKUP($C8,Mensual!$D$6:$H$163,5,0)&lt;0,0,VLOOKUP($C8,Mensual!$D$6:$H$163,5,0))</f>
        <v>0</v>
      </c>
      <c r="H8" s="4">
        <f t="shared" si="0"/>
        <v>0</v>
      </c>
      <c r="I8" s="36"/>
      <c r="J8" s="36"/>
      <c r="K8" s="36"/>
      <c r="L8" s="36"/>
      <c r="M8" s="1"/>
      <c r="N8" s="1"/>
      <c r="O8" s="1"/>
      <c r="P8" s="1"/>
      <c r="Q8" s="1"/>
      <c r="R8" s="1"/>
      <c r="S8" s="1"/>
    </row>
    <row r="9" spans="1:21" x14ac:dyDescent="0.25">
      <c r="B9" s="3">
        <v>0.1</v>
      </c>
      <c r="C9" s="15" t="s">
        <v>24</v>
      </c>
      <c r="D9" s="33" t="str">
        <f>IF(VLOOKUP($C9,Mensual!$D$6:$G$163,2,0)&lt;0,0,VLOOKUP($C9,Mensual!$D$6:$G$163,2,0))</f>
        <v>$</v>
      </c>
      <c r="E9" s="4">
        <f>IF(VLOOKUP($C9,Mensual!$D$6:$G$163,3,0)&lt;0,0,VLOOKUP($C9,Mensual!$D$6:$G$163,3,0))</f>
        <v>0.05</v>
      </c>
      <c r="F9" s="4">
        <f>IF(VLOOKUP($C9,Mensual!$D$6:$G$163,4,0)&lt;0,0,VLOOKUP($C9,Mensual!$D$6:$G$163,4,0))</f>
        <v>0.6</v>
      </c>
      <c r="G9" s="4">
        <f>IF(VLOOKUP($C9,Mensual!$D$6:$H$163,5,0)&lt;0,0,VLOOKUP($C9,Mensual!$D$6:$H$163,5,0))</f>
        <v>1</v>
      </c>
      <c r="H9" s="4">
        <f t="shared" si="0"/>
        <v>0.1</v>
      </c>
      <c r="I9" s="36"/>
      <c r="J9" s="36"/>
      <c r="K9" s="36"/>
      <c r="L9" s="36"/>
      <c r="M9" s="1"/>
      <c r="N9" s="1"/>
      <c r="O9" s="1"/>
      <c r="P9" s="1"/>
      <c r="Q9" s="1"/>
      <c r="R9" s="1"/>
      <c r="S9" s="1"/>
    </row>
    <row r="10" spans="1:21" x14ac:dyDescent="0.25">
      <c r="B10" s="3">
        <v>0.05</v>
      </c>
      <c r="C10" s="15" t="s">
        <v>25</v>
      </c>
      <c r="D10" s="33">
        <f>IF(VLOOKUP($C10,Mensual!$D$6:$G$163,2,0)&lt;0,0,VLOOKUP($C10,Mensual!$D$6:$G$163,2,0))</f>
        <v>0</v>
      </c>
      <c r="E10" s="4">
        <f>IF(VLOOKUP($C10,Mensual!$D$6:$G$163,3,0)&lt;0,0,VLOOKUP($C10,Mensual!$D$6:$G$163,3,0))</f>
        <v>4500</v>
      </c>
      <c r="F10" s="4">
        <f>IF(VLOOKUP($C10,Mensual!$D$6:$G$163,4,0)&lt;0,0,VLOOKUP($C10,Mensual!$D$6:$G$163,4,0))</f>
        <v>4782</v>
      </c>
      <c r="G10" s="4">
        <f>IF(VLOOKUP($C10,Mensual!$D$6:$H$163,5,0)&lt;0,0,VLOOKUP($C10,Mensual!$D$6:$H$163,5,0))</f>
        <v>1</v>
      </c>
      <c r="H10" s="4">
        <f t="shared" si="0"/>
        <v>0.05</v>
      </c>
      <c r="I10" s="36"/>
      <c r="J10" s="36"/>
      <c r="K10" s="36"/>
      <c r="L10" s="36"/>
      <c r="M10" s="1"/>
      <c r="N10" s="1"/>
      <c r="O10" s="1"/>
      <c r="P10" s="1"/>
      <c r="Q10" s="1"/>
      <c r="R10" s="1"/>
      <c r="S10" s="1"/>
    </row>
    <row r="11" spans="1:21" x14ac:dyDescent="0.25">
      <c r="B11" s="3">
        <v>0.05</v>
      </c>
      <c r="C11" s="15" t="s">
        <v>27</v>
      </c>
      <c r="D11" s="33" t="str">
        <f>IF(VLOOKUP($C11,Mensual!$D$6:$G$163,2,0)&lt;0,0,VLOOKUP($C11,Mensual!$D$6:$G$163,2,0))</f>
        <v>cabezal</v>
      </c>
      <c r="E11" s="4">
        <f>IF(VLOOKUP($C11,Mensual!$D$6:$G$163,3,0)&lt;0,0,VLOOKUP($C11,Mensual!$D$6:$G$163,3,0))</f>
        <v>1</v>
      </c>
      <c r="F11" s="4">
        <f>IF(VLOOKUP($C11,Mensual!$D$6:$G$163,4,0)&lt;0,0,VLOOKUP($C11,Mensual!$D$6:$G$163,4,0))</f>
        <v>1</v>
      </c>
      <c r="G11" s="4">
        <f>IF(VLOOKUP($C11,Mensual!$D$6:$H$163,5,0)&lt;0,0,VLOOKUP($C11,Mensual!$D$6:$H$163,5,0))</f>
        <v>0</v>
      </c>
      <c r="H11" s="4">
        <f t="shared" si="0"/>
        <v>0</v>
      </c>
      <c r="I11" s="36"/>
      <c r="J11" s="36"/>
      <c r="K11" s="36"/>
      <c r="L11" s="36"/>
      <c r="M11" s="1"/>
      <c r="N11" s="1"/>
      <c r="O11" s="1"/>
      <c r="P11" s="1"/>
      <c r="Q11" s="1"/>
      <c r="R11" s="1"/>
      <c r="S11" s="1"/>
    </row>
    <row r="12" spans="1:21" x14ac:dyDescent="0.25">
      <c r="B12" s="3">
        <v>2.5000000000000001E-2</v>
      </c>
      <c r="C12" s="15" t="s">
        <v>28</v>
      </c>
      <c r="D12" s="33">
        <f>IF(VLOOKUP($C12,Mensual!$D$6:$G$163,2,0)&lt;0,0,VLOOKUP($C12,Mensual!$D$6:$G$163,2,0))</f>
        <v>0</v>
      </c>
      <c r="E12" s="4">
        <f>IF(VLOOKUP($C12,Mensual!$D$6:$G$163,3,0)&lt;0,0,VLOOKUP($C12,Mensual!$D$6:$G$163,3,0))</f>
        <v>0.05</v>
      </c>
      <c r="F12" s="4">
        <f>IF(VLOOKUP($C12,Mensual!$D$6:$G$163,4,0)&lt;0,0,VLOOKUP($C12,Mensual!$D$6:$G$163,4,0))</f>
        <v>0.05</v>
      </c>
      <c r="G12" s="4">
        <f>IF(VLOOKUP($C12,Mensual!$D$6:$H$163,5,0)&lt;0,0,VLOOKUP($C12,Mensual!$D$6:$H$163,5,0))</f>
        <v>1</v>
      </c>
      <c r="H12" s="4">
        <f t="shared" si="0"/>
        <v>2.5000000000000001E-2</v>
      </c>
      <c r="I12" s="36"/>
      <c r="J12" s="36"/>
      <c r="K12" s="36"/>
      <c r="L12" s="36"/>
      <c r="M12" s="1"/>
      <c r="N12" s="1"/>
      <c r="O12" s="1"/>
      <c r="P12" s="1"/>
      <c r="Q12" s="1"/>
      <c r="R12" s="1"/>
      <c r="S12" s="1"/>
    </row>
    <row r="13" spans="1:21" x14ac:dyDescent="0.25">
      <c r="B13" s="3">
        <v>0.1</v>
      </c>
      <c r="C13" s="15" t="s">
        <v>70</v>
      </c>
      <c r="D13" s="33" t="str">
        <f>IF(VLOOKUP($C13,Mensual!$D$6:$G$163,2,0)&lt;0,0,VLOOKUP($C13,Mensual!$D$6:$G$163,2,0))</f>
        <v>$/km</v>
      </c>
      <c r="E13" s="4">
        <f>IF(VLOOKUP($C13,Mensual!$D$6:$G$163,3,0)&lt;0,0,VLOOKUP($C13,Mensual!$D$6:$G$163,3,0))</f>
        <v>0.05</v>
      </c>
      <c r="F13" s="4">
        <f>IF(VLOOKUP($C13,Mensual!$D$6:$G$163,4,0)&lt;0,0,VLOOKUP($C13,Mensual!$D$6:$G$163,4,0))</f>
        <v>0.09</v>
      </c>
      <c r="G13" s="4">
        <f>IF(VLOOKUP($C13,Mensual!$D$6:$H$163,5,0)&lt;0,0,VLOOKUP($C13,Mensual!$D$6:$H$163,5,0))</f>
        <v>0</v>
      </c>
      <c r="H13" s="4">
        <f t="shared" ref="H13" si="1">+G13*B13</f>
        <v>0</v>
      </c>
      <c r="I13" s="36"/>
      <c r="J13" s="36"/>
      <c r="K13" s="36"/>
      <c r="L13" s="36"/>
      <c r="M13" s="1"/>
      <c r="N13" s="1"/>
      <c r="O13" s="1"/>
      <c r="P13" s="1"/>
      <c r="Q13" s="1"/>
      <c r="R13" s="1"/>
      <c r="S13" s="1"/>
    </row>
    <row r="14" spans="1:21" x14ac:dyDescent="0.25">
      <c r="B14" s="3">
        <v>2.5000000000000001E-2</v>
      </c>
      <c r="C14" s="15" t="s">
        <v>29</v>
      </c>
      <c r="D14" s="33">
        <f>IF(VLOOKUP($C14,Mensual!$D$6:$G$163,2,0)&lt;0,0,VLOOKUP($C14,Mensual!$D$6:$G$163,2,0))</f>
        <v>0</v>
      </c>
      <c r="E14" s="4">
        <f>IF(VLOOKUP($C14,Mensual!$D$6:$G$163,3,0)&lt;0,0,VLOOKUP($C14,Mensual!$D$6:$G$163,3,0))</f>
        <v>0.05</v>
      </c>
      <c r="F14" s="4">
        <f>IF(VLOOKUP($C14,Mensual!$D$6:$G$163,4,0)&lt;0,0,VLOOKUP($C14,Mensual!$D$6:$G$163,4,0))</f>
        <v>1</v>
      </c>
      <c r="G14" s="4">
        <f>IF(VLOOKUP($C14,Mensual!$D$6:$H$163,5,0)&lt;0,0,VLOOKUP($C14,Mensual!$D$6:$H$163,5,0))</f>
        <v>1</v>
      </c>
      <c r="H14" s="4">
        <f t="shared" si="0"/>
        <v>2.5000000000000001E-2</v>
      </c>
      <c r="I14" s="36"/>
      <c r="J14" s="36"/>
      <c r="K14" s="36"/>
      <c r="L14" s="36"/>
      <c r="M14" s="1"/>
      <c r="N14" s="1"/>
      <c r="O14" s="1"/>
      <c r="P14" s="1"/>
      <c r="Q14" s="1"/>
      <c r="R14" s="1"/>
      <c r="S14" s="1"/>
    </row>
    <row r="15" spans="1:21" x14ac:dyDescent="0.25">
      <c r="B15" s="3">
        <v>0.1</v>
      </c>
      <c r="C15" s="15" t="s">
        <v>30</v>
      </c>
      <c r="D15" s="33" t="str">
        <f>IF(VLOOKUP($C15,Mensual!$D$6:$G$163,2,0)&lt;0,0,VLOOKUP($C15,Mensual!$D$6:$G$163,2,0))</f>
        <v># de cierres a tiempo</v>
      </c>
      <c r="E15" s="4">
        <f>IF(VLOOKUP($C15,Mensual!$D$6:$G$163,3,0)&lt;0,0,VLOOKUP($C15,Mensual!$D$6:$G$163,3,0))</f>
        <v>6</v>
      </c>
      <c r="F15" s="4">
        <f>IF(VLOOKUP($C15,Mensual!$D$6:$G$163,4,0)&lt;0,0,VLOOKUP($C15,Mensual!$D$6:$G$163,4,0))</f>
        <v>6</v>
      </c>
      <c r="G15" s="4">
        <f>IF(VLOOKUP($C15,Mensual!$D$6:$H$163,5,0)&lt;0,0,VLOOKUP($C15,Mensual!$D$6:$H$163,5,0))</f>
        <v>1</v>
      </c>
      <c r="H15" s="4">
        <f t="shared" si="0"/>
        <v>0.1</v>
      </c>
      <c r="I15" s="36"/>
      <c r="J15" s="36"/>
      <c r="K15" s="36"/>
      <c r="L15" s="36"/>
      <c r="M15" s="1"/>
      <c r="N15" s="1"/>
      <c r="O15" s="1"/>
      <c r="P15" s="1"/>
      <c r="Q15" s="1"/>
      <c r="R15" s="1"/>
      <c r="S15" s="1"/>
    </row>
    <row r="16" spans="1:21" x14ac:dyDescent="0.25">
      <c r="B16" s="1">
        <f>SUM(B6:B15)</f>
        <v>1.0000000000000002</v>
      </c>
      <c r="C16" s="2"/>
      <c r="D16" s="1"/>
      <c r="E16" s="1"/>
      <c r="F16" s="1"/>
      <c r="G16" s="1"/>
      <c r="H16" s="35">
        <f>SUM(H6:H15)</f>
        <v>0.65812500000000007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3:3" x14ac:dyDescent="0.25">
      <c r="C17" s="2"/>
    </row>
    <row r="19" spans="3:3" x14ac:dyDescent="0.25">
      <c r="C19" s="95" t="s">
        <v>61</v>
      </c>
    </row>
    <row r="20" spans="3:3" x14ac:dyDescent="0.25">
      <c r="C20" s="96" t="s">
        <v>71</v>
      </c>
    </row>
    <row r="21" spans="3:3" x14ac:dyDescent="0.25">
      <c r="C21" s="96" t="s">
        <v>72</v>
      </c>
    </row>
    <row r="22" spans="3:3" x14ac:dyDescent="0.25">
      <c r="C22" s="96"/>
    </row>
    <row r="23" spans="3:3" x14ac:dyDescent="0.25">
      <c r="C23" s="96"/>
    </row>
    <row r="24" spans="3:3" x14ac:dyDescent="0.25">
      <c r="C24" s="96"/>
    </row>
  </sheetData>
  <mergeCells count="1">
    <mergeCell ref="D2:F2"/>
  </mergeCells>
  <dataValidations count="1">
    <dataValidation type="list" allowBlank="1" showInputMessage="1" showErrorMessage="1" sqref="C20:C24" xr:uid="{00000000-0002-0000-0D00-000000000000}">
      <formula1>INDIRECT($D$2)</formula1>
    </dataValidation>
  </dataValidation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D00-000001000000}">
          <x14:formula1>
            <xm:f>Acumulado!$C$3:$C$661</xm:f>
          </x14:formula1>
          <xm:sqref>C6</xm:sqref>
        </x14:dataValidation>
        <x14:dataValidation type="list" allowBlank="1" showInputMessage="1" showErrorMessage="1" xr:uid="{00000000-0002-0000-0D00-000002000000}">
          <x14:formula1>
            <xm:f>Listados!$A$1:$L$1</xm:f>
          </x14:formula1>
          <xm:sqref>D2:F2</xm:sqref>
        </x14:dataValidation>
        <x14:dataValidation type="list" allowBlank="1" showInputMessage="1" showErrorMessage="1" xr:uid="{00000000-0002-0000-0D00-000003000000}">
          <x14:formula1>
            <xm:f>Acumulado!$C$3:$C$131</xm:f>
          </x14:formula1>
          <xm:sqref>C7:C15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/>
  </sheetPr>
  <dimension ref="A1:U22"/>
  <sheetViews>
    <sheetView showGridLines="0" tabSelected="1" zoomScale="115" zoomScaleNormal="115" workbookViewId="0">
      <selection activeCell="C15" sqref="C15"/>
    </sheetView>
  </sheetViews>
  <sheetFormatPr baseColWidth="10" defaultColWidth="11.42578125" defaultRowHeight="15" x14ac:dyDescent="0.25"/>
  <cols>
    <col min="3" max="3" width="65.85546875" bestFit="1" customWidth="1"/>
    <col min="4" max="4" width="19.5703125" customWidth="1"/>
    <col min="5" max="5" width="13.85546875" bestFit="1" customWidth="1"/>
    <col min="6" max="6" width="12.85546875" bestFit="1" customWidth="1"/>
    <col min="7" max="7" width="11.42578125" customWidth="1"/>
    <col min="8" max="8" width="19.140625" customWidth="1"/>
    <col min="9" max="9" width="13.7109375" bestFit="1" customWidth="1"/>
  </cols>
  <sheetData>
    <row r="1" spans="1:21" x14ac:dyDescent="0.25">
      <c r="I1" s="38">
        <v>0.9</v>
      </c>
      <c r="J1" s="41"/>
    </row>
    <row r="2" spans="1:21" x14ac:dyDescent="0.25">
      <c r="C2" s="7" t="s">
        <v>2</v>
      </c>
      <c r="D2" s="244" t="s">
        <v>16</v>
      </c>
      <c r="E2" s="244"/>
      <c r="F2" s="244"/>
      <c r="I2" s="39" t="s">
        <v>1</v>
      </c>
      <c r="J2" s="42"/>
    </row>
    <row r="3" spans="1:21" x14ac:dyDescent="0.25">
      <c r="C3" s="2"/>
      <c r="I3" s="39" t="s">
        <v>4</v>
      </c>
      <c r="J3" s="40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s="41" customFormat="1" x14ac:dyDescent="0.25">
      <c r="A6" s="41">
        <f>+Mensual!B6</f>
        <v>4</v>
      </c>
      <c r="B6" s="79">
        <v>0.3</v>
      </c>
      <c r="C6" s="80" t="s">
        <v>7</v>
      </c>
      <c r="D6" s="81" t="str">
        <f>IF(VLOOKUP($C6,Mensual!$D$6:$G$163,2,0)&lt;0,0,VLOOKUP($C6,Mensual!$D$6:$G$163,2,0))</f>
        <v>RESULTADO SCORECARD</v>
      </c>
      <c r="E6" s="54">
        <f>IF(VLOOKUP($C6,Mensual!$D$6:$G$163,3,0)&lt;0,0,VLOOKUP($C6,Mensual!$D$6:$G$163,3,0))</f>
        <v>1</v>
      </c>
      <c r="F6" s="54">
        <f>IF(VLOOKUP($C6,Mensual!$D$6:$G$163,4,0)&lt;0,0,VLOOKUP($C6,Mensual!$D$6:$G$163,4,0))</f>
        <v>1.0325000000000002</v>
      </c>
      <c r="G6" s="54">
        <f>IF(VLOOKUP($C6,Mensual!$D$6:$H$163,5,0)&lt;0,0,VLOOKUP($C6,Mensual!$D$6:$H$163,5,0))</f>
        <v>1.0325000000000002</v>
      </c>
      <c r="H6" s="54">
        <f>+G6*B6</f>
        <v>0.30975000000000003</v>
      </c>
      <c r="I6" s="89">
        <f>+Mensual!J6</f>
        <v>0</v>
      </c>
      <c r="J6" s="89">
        <f>+Mensual!K6</f>
        <v>0</v>
      </c>
      <c r="K6" s="89">
        <f>+Mensual!L6</f>
        <v>0</v>
      </c>
      <c r="L6" s="89">
        <f>+Mensual!M6</f>
        <v>0</v>
      </c>
      <c r="M6" s="79"/>
      <c r="N6" s="79"/>
      <c r="O6" s="79"/>
      <c r="P6" s="79"/>
      <c r="Q6" s="79"/>
      <c r="R6" s="79"/>
      <c r="S6" s="79"/>
    </row>
    <row r="7" spans="1:21" s="41" customFormat="1" x14ac:dyDescent="0.25">
      <c r="B7" s="79">
        <v>0.1</v>
      </c>
      <c r="C7" s="80" t="s">
        <v>19</v>
      </c>
      <c r="D7" s="81" t="str">
        <f>IF(VLOOKUP($C7,Mensual!$D$6:$G$163,2,0)&lt;0,0,VLOOKUP($C7,Mensual!$D$6:$G$163,2,0))</f>
        <v>%</v>
      </c>
      <c r="E7" s="54">
        <f>IF(VLOOKUP($C7,Mensual!$D$6:$G$163,3,0)&lt;0,0,VLOOKUP($C7,Mensual!$D$6:$G$163,3,0))</f>
        <v>0.1</v>
      </c>
      <c r="F7" s="54">
        <f>IF(VLOOKUP($C7,Mensual!$D$6:$G$163,4,0)&lt;0,0,VLOOKUP($C7,Mensual!$D$6:$G$163,4,0))</f>
        <v>0.32</v>
      </c>
      <c r="G7" s="54">
        <f>IF(VLOOKUP($C7,Mensual!$D$6:$H$163,5,0)&lt;0,0,VLOOKUP($C7,Mensual!$D$6:$H$163,5,0))</f>
        <v>1</v>
      </c>
      <c r="H7" s="54">
        <f t="shared" ref="H7:H13" si="0">+G7*B7</f>
        <v>0.1</v>
      </c>
      <c r="I7" s="82"/>
      <c r="J7" s="82"/>
      <c r="K7" s="82"/>
      <c r="L7" s="82"/>
      <c r="M7" s="83"/>
      <c r="N7" s="83"/>
      <c r="O7" s="83"/>
      <c r="P7" s="83"/>
      <c r="Q7" s="83"/>
      <c r="R7" s="83"/>
      <c r="S7" s="83"/>
    </row>
    <row r="8" spans="1:21" s="41" customFormat="1" x14ac:dyDescent="0.25">
      <c r="B8" s="79">
        <v>0.05</v>
      </c>
      <c r="C8" s="80" t="s">
        <v>20</v>
      </c>
      <c r="D8" s="81">
        <f>IF(VLOOKUP($C8,Mensual!$D$6:$G$163,2,0)&lt;0,0,VLOOKUP($C8,Mensual!$D$6:$G$163,2,0))</f>
        <v>0</v>
      </c>
      <c r="E8" s="54">
        <f>IF(VLOOKUP($C8,Mensual!$D$6:$G$163,3,0)&lt;0,0,VLOOKUP($C8,Mensual!$D$6:$G$163,3,0))</f>
        <v>0</v>
      </c>
      <c r="F8" s="54">
        <f>IF(VLOOKUP($C8,Mensual!$D$6:$G$163,4,0)&lt;0,0,VLOOKUP($C8,Mensual!$D$6:$G$163,4,0))</f>
        <v>0</v>
      </c>
      <c r="G8" s="54">
        <f>IF(VLOOKUP($C8,Mensual!$D$6:$H$163,5,0)&lt;0,0,VLOOKUP($C8,Mensual!$D$6:$H$163,5,0))</f>
        <v>1</v>
      </c>
      <c r="H8" s="54">
        <f t="shared" si="0"/>
        <v>0.05</v>
      </c>
      <c r="I8" s="82"/>
      <c r="J8" s="82"/>
      <c r="K8" s="82"/>
      <c r="L8" s="82"/>
      <c r="M8" s="83"/>
      <c r="N8" s="83"/>
      <c r="O8" s="83"/>
      <c r="P8" s="83"/>
      <c r="Q8" s="83"/>
      <c r="R8" s="83"/>
      <c r="S8" s="83"/>
    </row>
    <row r="9" spans="1:21" s="41" customFormat="1" x14ac:dyDescent="0.25">
      <c r="B9" s="79">
        <v>0.05</v>
      </c>
      <c r="C9" s="80" t="s">
        <v>21</v>
      </c>
      <c r="D9" s="81">
        <f>IF(VLOOKUP($C9,Mensual!$D$6:$G$163,2,0)&lt;0,0,VLOOKUP($C9,Mensual!$D$6:$G$163,2,0))</f>
        <v>0</v>
      </c>
      <c r="E9" s="54">
        <f>IF(VLOOKUP($C9,Mensual!$D$6:$G$163,3,0)&lt;0,0,VLOOKUP($C9,Mensual!$D$6:$G$163,3,0))</f>
        <v>0.05</v>
      </c>
      <c r="F9" s="54">
        <f>IF(VLOOKUP($C9,Mensual!$D$6:$G$163,4,0)&lt;0,0,VLOOKUP($C9,Mensual!$D$6:$G$163,4,0))</f>
        <v>0</v>
      </c>
      <c r="G9" s="54">
        <f>IF(VLOOKUP($C9,Mensual!$D$6:$H$163,5,0)&lt;0,0,VLOOKUP($C9,Mensual!$D$6:$H$163,5,0))</f>
        <v>0</v>
      </c>
      <c r="H9" s="54">
        <f t="shared" si="0"/>
        <v>0</v>
      </c>
      <c r="I9" s="82"/>
      <c r="J9" s="82"/>
      <c r="K9" s="82"/>
      <c r="L9" s="82"/>
      <c r="M9" s="83"/>
      <c r="N9" s="83"/>
      <c r="O9" s="83"/>
      <c r="P9" s="83"/>
      <c r="Q9" s="83"/>
      <c r="R9" s="83"/>
      <c r="S9" s="83"/>
    </row>
    <row r="10" spans="1:21" s="41" customFormat="1" x14ac:dyDescent="0.25">
      <c r="B10" s="79">
        <v>0.15</v>
      </c>
      <c r="C10" s="80" t="s">
        <v>22</v>
      </c>
      <c r="D10" s="81">
        <f>IF(VLOOKUP($C10,Mensual!$D$6:$G$163,2,0)&lt;0,0,VLOOKUP($C10,Mensual!$D$6:$G$163,2,0))</f>
        <v>0</v>
      </c>
      <c r="E10" s="54">
        <f>IF(VLOOKUP($C10,Mensual!$D$6:$G$163,3,0)&lt;0,0,VLOOKUP($C10,Mensual!$D$6:$G$163,3,0))</f>
        <v>0.1</v>
      </c>
      <c r="F10" s="54">
        <f>IF(VLOOKUP($C10,Mensual!$D$6:$G$163,4,0)&lt;0,0,VLOOKUP($C10,Mensual!$D$6:$G$163,4,0))</f>
        <v>0</v>
      </c>
      <c r="G10" s="54">
        <f>IF(VLOOKUP($C10,Mensual!$D$6:$H$163,5,0)&lt;0,0,VLOOKUP($C10,Mensual!$D$6:$H$163,5,0))</f>
        <v>0</v>
      </c>
      <c r="H10" s="54">
        <f t="shared" si="0"/>
        <v>0</v>
      </c>
      <c r="I10" s="82"/>
      <c r="J10" s="82"/>
      <c r="K10" s="82"/>
      <c r="L10" s="82"/>
      <c r="M10" s="83"/>
      <c r="N10" s="83"/>
      <c r="O10" s="83"/>
      <c r="P10" s="83"/>
      <c r="Q10" s="83"/>
      <c r="R10" s="83"/>
      <c r="S10" s="83"/>
    </row>
    <row r="11" spans="1:21" s="41" customFormat="1" x14ac:dyDescent="0.25">
      <c r="B11" s="79">
        <v>0.1</v>
      </c>
      <c r="C11" s="80" t="s">
        <v>28</v>
      </c>
      <c r="D11" s="81">
        <f>IF(VLOOKUP($C11,Mensual!$D$6:$G$163,2,0)&lt;0,0,VLOOKUP($C11,Mensual!$D$6:$G$163,2,0))</f>
        <v>0</v>
      </c>
      <c r="E11" s="54">
        <f>IF(VLOOKUP($C11,Mensual!$D$6:$G$163,3,0)&lt;0,0,VLOOKUP($C11,Mensual!$D$6:$G$163,3,0))</f>
        <v>0.05</v>
      </c>
      <c r="F11" s="54">
        <f>IF(VLOOKUP($C11,Mensual!$D$6:$G$163,4,0)&lt;0,0,VLOOKUP($C11,Mensual!$D$6:$G$163,4,0))</f>
        <v>0.05</v>
      </c>
      <c r="G11" s="54">
        <f>IF(VLOOKUP($C11,Mensual!$D$6:$H$163,5,0)&lt;0,0,VLOOKUP($C11,Mensual!$D$6:$H$163,5,0))</f>
        <v>1</v>
      </c>
      <c r="H11" s="54">
        <f t="shared" si="0"/>
        <v>0.1</v>
      </c>
      <c r="I11" s="82"/>
      <c r="J11" s="82"/>
      <c r="K11" s="82"/>
      <c r="L11" s="82"/>
      <c r="M11" s="83"/>
      <c r="N11" s="83"/>
      <c r="O11" s="83"/>
      <c r="P11" s="83"/>
      <c r="Q11" s="83"/>
      <c r="R11" s="83"/>
      <c r="S11" s="83"/>
    </row>
    <row r="12" spans="1:21" s="41" customFormat="1" x14ac:dyDescent="0.25">
      <c r="B12" s="79">
        <v>0.1</v>
      </c>
      <c r="C12" s="80" t="s">
        <v>29</v>
      </c>
      <c r="D12" s="81">
        <f>IF(VLOOKUP($C12,Mensual!$D$6:$G$163,2,0)&lt;0,0,VLOOKUP($C12,Mensual!$D$6:$G$163,2,0))</f>
        <v>0</v>
      </c>
      <c r="E12" s="54">
        <f>IF(VLOOKUP($C12,Mensual!$D$6:$G$163,3,0)&lt;0,0,VLOOKUP($C12,Mensual!$D$6:$G$163,3,0))</f>
        <v>0.05</v>
      </c>
      <c r="F12" s="54">
        <f>IF(VLOOKUP($C12,Mensual!$D$6:$G$163,4,0)&lt;0,0,VLOOKUP($C12,Mensual!$D$6:$G$163,4,0))</f>
        <v>1</v>
      </c>
      <c r="G12" s="54">
        <f>IF(VLOOKUP($C12,Mensual!$D$6:$H$163,5,0)&lt;0,0,VLOOKUP($C12,Mensual!$D$6:$H$163,5,0))</f>
        <v>1</v>
      </c>
      <c r="H12" s="54">
        <f t="shared" si="0"/>
        <v>0.1</v>
      </c>
      <c r="I12" s="82"/>
      <c r="J12" s="82"/>
      <c r="K12" s="82"/>
      <c r="L12" s="82"/>
      <c r="M12" s="83"/>
      <c r="N12" s="83"/>
      <c r="O12" s="83"/>
      <c r="P12" s="83"/>
      <c r="Q12" s="83"/>
      <c r="R12" s="83"/>
      <c r="S12" s="83"/>
    </row>
    <row r="13" spans="1:21" s="41" customFormat="1" x14ac:dyDescent="0.25">
      <c r="B13" s="79">
        <v>0.15</v>
      </c>
      <c r="C13" s="80" t="s">
        <v>30</v>
      </c>
      <c r="D13" s="81" t="str">
        <f>IF(VLOOKUP($C13,Mensual!$D$6:$G$163,2,0)&lt;0,0,VLOOKUP($C13,Mensual!$D$6:$G$163,2,0))</f>
        <v># de cierres a tiempo</v>
      </c>
      <c r="E13" s="54">
        <f>IF(VLOOKUP($C13,Mensual!$D$6:$G$163,3,0)&lt;0,0,VLOOKUP($C13,Mensual!$D$6:$G$163,3,0))</f>
        <v>6</v>
      </c>
      <c r="F13" s="54">
        <f>IF(VLOOKUP($C13,Mensual!$D$6:$G$163,4,0)&lt;0,0,VLOOKUP($C13,Mensual!$D$6:$G$163,4,0))</f>
        <v>6</v>
      </c>
      <c r="G13" s="54">
        <f>IF(VLOOKUP($C13,Mensual!$D$6:$H$163,5,0)&lt;0,0,VLOOKUP($C13,Mensual!$D$6:$H$163,5,0))</f>
        <v>1</v>
      </c>
      <c r="H13" s="54">
        <f t="shared" si="0"/>
        <v>0.15</v>
      </c>
      <c r="I13" s="82"/>
      <c r="J13" s="82"/>
      <c r="K13" s="82"/>
      <c r="L13" s="82"/>
      <c r="M13" s="83"/>
      <c r="N13" s="83"/>
      <c r="O13" s="83"/>
      <c r="P13" s="83"/>
      <c r="Q13" s="83"/>
      <c r="R13" s="83"/>
      <c r="S13" s="83"/>
    </row>
    <row r="14" spans="1:21" x14ac:dyDescent="0.25">
      <c r="B14" s="1">
        <f>SUM(B6:B13)</f>
        <v>1</v>
      </c>
      <c r="C14" s="2"/>
      <c r="D14" s="1"/>
      <c r="E14" s="1"/>
      <c r="F14" s="1"/>
      <c r="G14" s="1"/>
      <c r="H14" s="35">
        <f>SUM(H6:H13)</f>
        <v>0.80975000000000008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21" x14ac:dyDescent="0.25">
      <c r="C15" s="2"/>
    </row>
    <row r="17" spans="3:3" x14ac:dyDescent="0.25">
      <c r="C17" s="95" t="s">
        <v>61</v>
      </c>
    </row>
    <row r="18" spans="3:3" x14ac:dyDescent="0.25">
      <c r="C18" s="96" t="s">
        <v>73</v>
      </c>
    </row>
    <row r="19" spans="3:3" x14ac:dyDescent="0.25">
      <c r="C19" s="96" t="s">
        <v>74</v>
      </c>
    </row>
    <row r="20" spans="3:3" x14ac:dyDescent="0.25">
      <c r="C20" s="96" t="s">
        <v>75</v>
      </c>
    </row>
    <row r="21" spans="3:3" x14ac:dyDescent="0.25">
      <c r="C21" s="96"/>
    </row>
    <row r="22" spans="3:3" x14ac:dyDescent="0.25">
      <c r="C22" s="96"/>
    </row>
  </sheetData>
  <mergeCells count="1">
    <mergeCell ref="D2:F2"/>
  </mergeCells>
  <dataValidations count="1">
    <dataValidation type="list" allowBlank="1" showInputMessage="1" showErrorMessage="1" sqref="C18:C22" xr:uid="{00000000-0002-0000-0E00-000000000000}">
      <formula1>INDIRECT($D$2)</formula1>
    </dataValidation>
  </dataValidation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E00-000001000000}">
          <x14:formula1>
            <xm:f>Listados!$A$1:$L$1</xm:f>
          </x14:formula1>
          <xm:sqref>D2:F2</xm:sqref>
        </x14:dataValidation>
        <x14:dataValidation type="list" allowBlank="1" showInputMessage="1" showErrorMessage="1" xr:uid="{00000000-0002-0000-0E00-000002000000}">
          <x14:formula1>
            <xm:f>Acumulado!$C$3:$C$661</xm:f>
          </x14:formula1>
          <xm:sqref>C6</xm:sqref>
        </x14:dataValidation>
        <x14:dataValidation type="list" allowBlank="1" showInputMessage="1" showErrorMessage="1" xr:uid="{00000000-0002-0000-0E00-000003000000}">
          <x14:formula1>
            <xm:f>Acumulado!$C$3:$C$131</xm:f>
          </x14:formula1>
          <xm:sqref>C7:C13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/>
  </sheetPr>
  <dimension ref="A1:U18"/>
  <sheetViews>
    <sheetView showGridLines="0" zoomScale="85" zoomScaleNormal="85" workbookViewId="0">
      <selection activeCell="G18" sqref="G18"/>
    </sheetView>
  </sheetViews>
  <sheetFormatPr baseColWidth="10" defaultColWidth="11.42578125" defaultRowHeight="15" x14ac:dyDescent="0.25"/>
  <cols>
    <col min="3" max="3" width="65.85546875" bestFit="1" customWidth="1"/>
    <col min="4" max="4" width="19.5703125" customWidth="1"/>
    <col min="5" max="5" width="13.85546875" bestFit="1" customWidth="1"/>
    <col min="6" max="6" width="12.85546875" bestFit="1" customWidth="1"/>
    <col min="7" max="7" width="11.42578125" customWidth="1"/>
    <col min="8" max="8" width="19.140625" customWidth="1"/>
    <col min="9" max="9" width="13.7109375" bestFit="1" customWidth="1"/>
  </cols>
  <sheetData>
    <row r="1" spans="1:21" x14ac:dyDescent="0.25">
      <c r="I1" s="38">
        <v>0.9</v>
      </c>
      <c r="J1" s="41"/>
    </row>
    <row r="2" spans="1:21" x14ac:dyDescent="0.25">
      <c r="C2" s="14" t="s">
        <v>0</v>
      </c>
      <c r="D2" s="243" t="s">
        <v>76</v>
      </c>
      <c r="E2" s="243"/>
      <c r="F2" s="243"/>
      <c r="I2" s="39" t="s">
        <v>1</v>
      </c>
      <c r="J2" s="42"/>
    </row>
    <row r="3" spans="1:21" x14ac:dyDescent="0.25">
      <c r="C3" s="7" t="s">
        <v>2</v>
      </c>
      <c r="D3" s="244" t="s">
        <v>77</v>
      </c>
      <c r="E3" s="244"/>
      <c r="F3" s="244"/>
      <c r="I3" s="39" t="s">
        <v>4</v>
      </c>
      <c r="J3" s="40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x14ac:dyDescent="0.25">
      <c r="A6">
        <f>+Mensual!B6</f>
        <v>4</v>
      </c>
      <c r="B6" s="3">
        <v>0.4</v>
      </c>
      <c r="C6" s="15" t="s">
        <v>7</v>
      </c>
      <c r="D6" s="33" t="str">
        <f>IF(VLOOKUP($C6,Mensual!$D$6:$G$163,2,0)&lt;0,0,VLOOKUP($C6,Mensual!$D$6:$G$163,2,0))</f>
        <v>RESULTADO SCORECARD</v>
      </c>
      <c r="E6" s="4">
        <f>IF(VLOOKUP($C6,Mensual!$D$6:$G$163,3,0)&lt;0,0,VLOOKUP($C6,Mensual!$D$6:$G$163,3,0))</f>
        <v>1</v>
      </c>
      <c r="F6" s="4">
        <f>IF(VLOOKUP($C6,Mensual!$D$6:$G$163,4,0)&lt;0,0,VLOOKUP($C6,Mensual!$D$6:$G$163,4,0))</f>
        <v>1.0325000000000002</v>
      </c>
      <c r="G6" s="4">
        <f>IF(VLOOKUP($C6,Mensual!$D$6:$H$163,5,0)&lt;0,0,VLOOKUP($C6,Mensual!$D$6:$H$163,5,0))</f>
        <v>1.0325000000000002</v>
      </c>
      <c r="H6" s="4">
        <f>+G6*B6</f>
        <v>0.41300000000000009</v>
      </c>
      <c r="I6" s="31">
        <f>+Mensual!J6</f>
        <v>0</v>
      </c>
      <c r="J6" s="31">
        <f>+Mensual!K6</f>
        <v>0</v>
      </c>
      <c r="K6" s="31">
        <f>+Mensual!L6</f>
        <v>0</v>
      </c>
      <c r="L6" s="31">
        <f>+Mensual!M6</f>
        <v>0</v>
      </c>
      <c r="M6" s="3"/>
      <c r="N6" s="3"/>
      <c r="O6" s="3"/>
      <c r="P6" s="3"/>
      <c r="Q6" s="3"/>
      <c r="R6" s="3"/>
      <c r="S6" s="3"/>
    </row>
    <row r="7" spans="1:21" x14ac:dyDescent="0.25">
      <c r="B7" s="3">
        <v>0.05</v>
      </c>
      <c r="C7" s="15" t="s">
        <v>78</v>
      </c>
      <c r="D7" s="33" t="str">
        <f>IF(VLOOKUP($C7,Mensual!$D$6:$G$135,2,0)&lt;0,0,VLOOKUP($C7,Mensual!$D$6:$G$135,2,0))</f>
        <v>Gate</v>
      </c>
      <c r="E7" s="4">
        <f>IF(VLOOKUP($C7,Mensual!$D$6:$G$163,3,0)&lt;0,0,VLOOKUP($C7,Mensual!$D$6:$G$163,3,0))</f>
        <v>0.2</v>
      </c>
      <c r="F7" s="4">
        <f>IF(VLOOKUP($C7,Mensual!$D$6:$G$163,4,0)&lt;0,0,VLOOKUP($C7,Mensual!$D$6:$G$163,4,0))</f>
        <v>0</v>
      </c>
      <c r="G7" s="4">
        <f>IF(VLOOKUP($C7,Mensual!$D$6:$H$163,5,0)&lt;0,0,VLOOKUP($C7,Mensual!$D$6:$H$163,5,0))</f>
        <v>0</v>
      </c>
      <c r="H7" s="4">
        <f t="shared" ref="H7:H16" si="0">+G7*B7</f>
        <v>0</v>
      </c>
      <c r="I7" s="36"/>
      <c r="J7" s="36"/>
      <c r="K7" s="36"/>
      <c r="L7" s="36"/>
      <c r="M7" s="1"/>
      <c r="N7" s="1"/>
      <c r="O7" s="1"/>
      <c r="P7" s="1"/>
      <c r="Q7" s="1"/>
      <c r="R7" s="1"/>
      <c r="S7" s="1"/>
    </row>
    <row r="8" spans="1:21" s="134" customFormat="1" x14ac:dyDescent="0.25">
      <c r="B8" s="135">
        <v>0.1</v>
      </c>
      <c r="C8" s="136" t="s">
        <v>79</v>
      </c>
      <c r="D8" s="137">
        <f>IF(VLOOKUP($C8,Mensual!$D$6:$G$135,2,0)&lt;0,0,VLOOKUP($C8,Mensual!$D$6:$G$135,2,0))</f>
        <v>0</v>
      </c>
      <c r="E8" s="138">
        <f>IF(VLOOKUP($C8,Mensual!$D$6:$G$163,3,0)&lt;0,0,VLOOKUP($C8,Mensual!$D$6:$G$163,3,0))</f>
        <v>0.05</v>
      </c>
      <c r="F8" s="138">
        <f>IF(VLOOKUP($C8,Mensual!$D$6:$G$163,4,0)&lt;0,0,VLOOKUP($C8,Mensual!$D$6:$G$163,4,0))</f>
        <v>0</v>
      </c>
      <c r="G8" s="138">
        <f>IF(VLOOKUP($C8,Mensual!$D$6:$H$163,5,0)&lt;0,0,VLOOKUP($C8,Mensual!$D$6:$H$163,5,0))</f>
        <v>0</v>
      </c>
      <c r="H8" s="138">
        <f t="shared" ref="H8:H9" si="1">+G8*B8</f>
        <v>0</v>
      </c>
      <c r="I8" s="139"/>
      <c r="J8" s="139"/>
      <c r="K8" s="139"/>
      <c r="L8" s="139"/>
      <c r="M8" s="140"/>
      <c r="N8" s="140"/>
      <c r="O8" s="140"/>
      <c r="P8" s="140"/>
      <c r="Q8" s="140"/>
      <c r="R8" s="140"/>
      <c r="S8" s="140"/>
    </row>
    <row r="9" spans="1:21" x14ac:dyDescent="0.25">
      <c r="B9" s="3">
        <v>0.05</v>
      </c>
      <c r="C9" s="15" t="s">
        <v>80</v>
      </c>
      <c r="D9" s="33" t="str">
        <f>IF(VLOOKUP($C9,Mensual!$D$6:$G$135,2,0)&lt;0,0,VLOOKUP($C9,Mensual!$D$6:$G$135,2,0))</f>
        <v>$/contenedor</v>
      </c>
      <c r="E9" s="4">
        <f>IF(VLOOKUP($C9,Mensual!$D$6:$G$163,3,0)&lt;0,0,VLOOKUP($C9,Mensual!$D$6:$G$163,3,0))</f>
        <v>0.1</v>
      </c>
      <c r="F9" s="4">
        <f>IF(VLOOKUP($C9,Mensual!$D$6:$G$163,4,0)&lt;0,0,VLOOKUP($C9,Mensual!$D$6:$G$163,4,0))</f>
        <v>0</v>
      </c>
      <c r="G9" s="4">
        <f>IF(VLOOKUP($C9,Mensual!$D$6:$H$163,5,0)&lt;0,0,VLOOKUP($C9,Mensual!$D$6:$H$163,5,0))</f>
        <v>0</v>
      </c>
      <c r="H9" s="4">
        <f t="shared" si="1"/>
        <v>0</v>
      </c>
      <c r="I9" s="36"/>
      <c r="J9" s="36"/>
      <c r="K9" s="36"/>
      <c r="L9" s="36"/>
      <c r="M9" s="1"/>
      <c r="N9" s="1"/>
      <c r="O9" s="1"/>
      <c r="P9" s="1"/>
      <c r="Q9" s="1"/>
      <c r="R9" s="1"/>
      <c r="S9" s="1"/>
    </row>
    <row r="10" spans="1:21" s="134" customFormat="1" x14ac:dyDescent="0.25">
      <c r="B10" s="135">
        <v>0.05</v>
      </c>
      <c r="C10" s="136" t="s">
        <v>81</v>
      </c>
      <c r="D10" s="137" t="str">
        <f>IF(VLOOKUP($C10,Mensual!$D$6:$G$135,2,0)&lt;0,0,VLOOKUP($C10,Mensual!$D$6:$G$135,2,0))</f>
        <v>$/contenedor</v>
      </c>
      <c r="E10" s="138">
        <f>IF(VLOOKUP($C10,Mensual!$D$6:$G$163,3,0)&lt;0,0,VLOOKUP($C10,Mensual!$D$6:$G$163,3,0))</f>
        <v>0.1</v>
      </c>
      <c r="F10" s="138">
        <f>IF(VLOOKUP($C10,Mensual!$D$6:$G$163,4,0)&lt;0,0,VLOOKUP($C10,Mensual!$D$6:$G$163,4,0))</f>
        <v>0</v>
      </c>
      <c r="G10" s="138">
        <f>IF(VLOOKUP($C10,Mensual!$D$6:$H$163,5,0)&lt;0,0,VLOOKUP($C10,Mensual!$D$6:$H$163,5,0))</f>
        <v>0</v>
      </c>
      <c r="H10" s="138">
        <f t="shared" ref="H10:H12" si="2">+G10*B10</f>
        <v>0</v>
      </c>
      <c r="I10" s="139"/>
      <c r="J10" s="139"/>
      <c r="K10" s="139"/>
      <c r="L10" s="139"/>
      <c r="M10" s="140"/>
      <c r="N10" s="140"/>
      <c r="O10" s="140"/>
      <c r="P10" s="140"/>
      <c r="Q10" s="140"/>
      <c r="R10" s="140"/>
      <c r="S10" s="140"/>
    </row>
    <row r="11" spans="1:21" x14ac:dyDescent="0.25">
      <c r="B11" s="3">
        <v>0.05</v>
      </c>
      <c r="C11" s="15" t="s">
        <v>82</v>
      </c>
      <c r="D11" s="33" t="str">
        <f>IF(VLOOKUP($C11,Mensual!$D$6:$G$135,2,0)&lt;0,0,VLOOKUP($C11,Mensual!$D$6:$G$135,2,0))</f>
        <v>dolares</v>
      </c>
      <c r="E11" s="4">
        <f>IF(VLOOKUP($C11,Mensual!$D$6:$G$163,3,0)&lt;0,0,VLOOKUP($C11,Mensual!$D$6:$G$163,3,0))</f>
        <v>0.1</v>
      </c>
      <c r="F11" s="4">
        <f>IF(VLOOKUP($C11,Mensual!$D$6:$G$163,4,0)&lt;0,0,VLOOKUP($C11,Mensual!$D$6:$G$163,4,0))</f>
        <v>4.66</v>
      </c>
      <c r="G11" s="4">
        <f>IF(VLOOKUP($C11,Mensual!$D$6:$H$163,5,0)&lt;0,0,VLOOKUP($C11,Mensual!$D$6:$H$163,5,0))</f>
        <v>0</v>
      </c>
      <c r="H11" s="4">
        <f t="shared" si="2"/>
        <v>0</v>
      </c>
      <c r="I11" s="36"/>
      <c r="J11" s="36"/>
      <c r="K11" s="36"/>
      <c r="L11" s="36"/>
      <c r="M11" s="1"/>
      <c r="N11" s="1"/>
      <c r="O11" s="1"/>
      <c r="P11" s="1"/>
      <c r="Q11" s="1"/>
      <c r="R11" s="1"/>
      <c r="S11" s="1"/>
    </row>
    <row r="12" spans="1:21" x14ac:dyDescent="0.25">
      <c r="B12" s="3">
        <v>0.05</v>
      </c>
      <c r="C12" s="15" t="s">
        <v>34</v>
      </c>
      <c r="D12" s="33">
        <f>IF(VLOOKUP($C12,Mensual!$D$6:$G$135,2,0)&lt;0,0,VLOOKUP($C12,Mensual!$D$6:$G$135,2,0))</f>
        <v>0</v>
      </c>
      <c r="E12" s="4">
        <f>IF(VLOOKUP($C12,Mensual!$D$6:$G$163,3,0)&lt;0,0,VLOOKUP($C12,Mensual!$D$6:$G$163,3,0))</f>
        <v>1</v>
      </c>
      <c r="F12" s="4">
        <f>IF(VLOOKUP($C12,Mensual!$D$6:$G$163,4,0)&lt;0,0,VLOOKUP($C12,Mensual!$D$6:$G$163,4,0))</f>
        <v>1</v>
      </c>
      <c r="G12" s="4">
        <f>IF(VLOOKUP($C12,Mensual!$D$6:$H$163,5,0)&lt;0,0,VLOOKUP($C12,Mensual!$D$6:$H$163,5,0))</f>
        <v>1</v>
      </c>
      <c r="H12" s="4">
        <f t="shared" si="2"/>
        <v>0.05</v>
      </c>
      <c r="I12" s="36"/>
      <c r="J12" s="36"/>
      <c r="K12" s="36"/>
      <c r="L12" s="36"/>
      <c r="M12" s="1"/>
      <c r="N12" s="1"/>
      <c r="O12" s="1"/>
      <c r="P12" s="1"/>
      <c r="Q12" s="1"/>
      <c r="R12" s="1"/>
      <c r="S12" s="1"/>
    </row>
    <row r="13" spans="1:21" x14ac:dyDescent="0.25">
      <c r="B13" s="3">
        <v>0.05</v>
      </c>
      <c r="C13" s="15" t="s">
        <v>83</v>
      </c>
      <c r="D13" s="33" t="str">
        <f>IF(VLOOKUP($C13,Mensual!$D$6:$G$135,2,0)&lt;0,0,VLOOKUP($C13,Mensual!$D$6:$G$135,2,0))</f>
        <v># de fallas</v>
      </c>
      <c r="E13" s="4">
        <f>IF(VLOOKUP($C13,Mensual!$D$6:$G$163,3,0)&lt;0,0,VLOOKUP($C13,Mensual!$D$6:$G$163,3,0))</f>
        <v>1</v>
      </c>
      <c r="F13" s="4">
        <f>IF(VLOOKUP($C13,Mensual!$D$6:$G$163,4,0)&lt;0,0,VLOOKUP($C13,Mensual!$D$6:$G$163,4,0))</f>
        <v>0</v>
      </c>
      <c r="G13" s="4">
        <f>IF(VLOOKUP($C13,Mensual!$D$6:$H$163,5,0)&lt;0,0,VLOOKUP($C13,Mensual!$D$6:$H$163,5,0))</f>
        <v>1</v>
      </c>
      <c r="H13" s="4">
        <f t="shared" ref="H13:H14" si="3">+G13*B13</f>
        <v>0.05</v>
      </c>
      <c r="I13" s="36"/>
      <c r="J13" s="36"/>
      <c r="K13" s="36"/>
      <c r="L13" s="36"/>
      <c r="M13" s="1"/>
      <c r="N13" s="1"/>
      <c r="O13" s="1"/>
      <c r="P13" s="1"/>
      <c r="Q13" s="1"/>
      <c r="R13" s="1"/>
      <c r="S13" s="1"/>
    </row>
    <row r="14" spans="1:21" x14ac:dyDescent="0.25">
      <c r="B14" s="3">
        <v>0.05</v>
      </c>
      <c r="C14" s="15" t="s">
        <v>84</v>
      </c>
      <c r="D14" s="33" t="str">
        <f>IF(VLOOKUP($C14,Mensual!$D$6:$G$135,2,0)&lt;0,0,VLOOKUP($C14,Mensual!$D$6:$G$135,2,0))</f>
        <v>Equipos</v>
      </c>
      <c r="E14" s="55">
        <f>IF(VLOOKUP($C14,Mensual!$D$6:$G$163,3,0)&lt;0,0,VLOOKUP($C14,Mensual!$D$6:$G$163,3,0))</f>
        <v>30</v>
      </c>
      <c r="F14" s="55">
        <f>IF(VLOOKUP($C14,Mensual!$D$6:$G$163,4,0)&lt;0,0,VLOOKUP($C14,Mensual!$D$6:$G$163,4,0))</f>
        <v>45</v>
      </c>
      <c r="G14" s="4">
        <f>IF(VLOOKUP($C14,Mensual!$D$6:$H$163,5,0)&lt;0,0,VLOOKUP($C14,Mensual!$D$6:$H$163,5,0))</f>
        <v>0</v>
      </c>
      <c r="H14" s="4">
        <f t="shared" si="3"/>
        <v>0</v>
      </c>
      <c r="I14" s="36"/>
      <c r="J14" s="36"/>
      <c r="K14" s="36"/>
      <c r="L14" s="36"/>
      <c r="M14" s="1"/>
      <c r="N14" s="1"/>
      <c r="O14" s="1"/>
      <c r="P14" s="1"/>
      <c r="Q14" s="1"/>
      <c r="R14" s="1"/>
      <c r="S14" s="1"/>
    </row>
    <row r="15" spans="1:21" x14ac:dyDescent="0.25">
      <c r="B15" s="3">
        <v>0.05</v>
      </c>
      <c r="C15" s="15" t="s">
        <v>85</v>
      </c>
      <c r="D15" s="33" t="str">
        <f>IF(VLOOKUP($C15,Mensual!$D$6:$G$135,2,0)&lt;0,0,VLOOKUP($C15,Mensual!$D$6:$G$135,2,0))</f>
        <v>generadores</v>
      </c>
      <c r="E15" s="55">
        <f>IF(VLOOKUP($C15,Mensual!$D$6:$G$163,3,0)&lt;0,0,VLOOKUP($C15,Mensual!$D$6:$G$163,3,0))</f>
        <v>1</v>
      </c>
      <c r="F15" s="55">
        <f>IF(VLOOKUP($C15,Mensual!$D$6:$G$163,4,0)&lt;0,0,VLOOKUP($C15,Mensual!$D$6:$G$163,4,0))</f>
        <v>44</v>
      </c>
      <c r="G15" s="4">
        <f>IF(VLOOKUP($C15,Mensual!$D$6:$H$163,5,0)&lt;0,0,VLOOKUP($C15,Mensual!$D$6:$H$163,5,0))</f>
        <v>0</v>
      </c>
      <c r="H15" s="4">
        <f t="shared" ref="H15" si="4">+G15*B15</f>
        <v>0</v>
      </c>
      <c r="I15" s="36"/>
      <c r="J15" s="36"/>
      <c r="K15" s="36"/>
      <c r="L15" s="36"/>
      <c r="M15" s="1"/>
      <c r="N15" s="1"/>
      <c r="O15" s="1"/>
      <c r="P15" s="1"/>
      <c r="Q15" s="1"/>
      <c r="R15" s="1"/>
      <c r="S15" s="1"/>
    </row>
    <row r="16" spans="1:21" x14ac:dyDescent="0.25">
      <c r="B16" s="3">
        <v>0.1</v>
      </c>
      <c r="C16" s="15" t="s">
        <v>70</v>
      </c>
      <c r="D16" s="33" t="str">
        <f>IF(VLOOKUP($C16,Mensual!$D$6:$G$135,2,0)&lt;0,0,VLOOKUP($C16,Mensual!$D$6:$G$135,2,0))</f>
        <v>$/km</v>
      </c>
      <c r="E16" s="4">
        <f>IF(VLOOKUP($C16,Mensual!$D$6:$G$163,3,0)&lt;0,0,VLOOKUP($C16,Mensual!$D$6:$G$163,3,0))</f>
        <v>0.05</v>
      </c>
      <c r="F16" s="4">
        <f>IF(VLOOKUP($C16,Mensual!$D$6:$G$163,4,0)&lt;0,0,VLOOKUP($C16,Mensual!$D$6:$G$163,4,0))</f>
        <v>0.09</v>
      </c>
      <c r="G16" s="4">
        <f>IF(VLOOKUP($C16,Mensual!$D$6:$H$163,5,0)&lt;0,0,VLOOKUP($C16,Mensual!$D$6:$H$163,5,0))</f>
        <v>0</v>
      </c>
      <c r="H16" s="4">
        <f t="shared" si="0"/>
        <v>0</v>
      </c>
      <c r="I16" s="36"/>
      <c r="J16" s="36"/>
      <c r="K16" s="36"/>
      <c r="L16" s="36"/>
      <c r="M16" s="1"/>
      <c r="N16" s="1"/>
      <c r="O16" s="1"/>
      <c r="P16" s="1"/>
      <c r="Q16" s="1"/>
      <c r="R16" s="1"/>
      <c r="S16" s="1"/>
    </row>
    <row r="17" spans="2:19" x14ac:dyDescent="0.25">
      <c r="B17" s="1">
        <f>SUM(B6:B16)</f>
        <v>1.0000000000000004</v>
      </c>
      <c r="C17" s="2"/>
      <c r="D17" s="1"/>
      <c r="E17" s="1"/>
      <c r="F17" s="1"/>
      <c r="G17" s="1"/>
      <c r="H17" s="35">
        <f>SUM(H6:H16)</f>
        <v>0.51300000000000012</v>
      </c>
      <c r="I17" s="1">
        <f>+B17-B18</f>
        <v>0.85000000000000042</v>
      </c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2:19" x14ac:dyDescent="0.25">
      <c r="B18" s="1">
        <f>+B8+B10</f>
        <v>0.15000000000000002</v>
      </c>
      <c r="C18" s="2"/>
      <c r="F18" t="s">
        <v>86</v>
      </c>
      <c r="H18" s="141">
        <f>+H17/I17</f>
        <v>0.60352941176470576</v>
      </c>
    </row>
  </sheetData>
  <mergeCells count="2">
    <mergeCell ref="D2:F2"/>
    <mergeCell ref="D3:F3"/>
  </mergeCells>
  <dataValidations count="1">
    <dataValidation type="list" allowBlank="1" showInputMessage="1" showErrorMessage="1" sqref="D2:F2" xr:uid="{00000000-0002-0000-0F00-000000000000}">
      <formula1>INDIRECT(D3)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F00-000001000000}">
          <x14:formula1>
            <xm:f>Acumulado!$C$3:$C$661</xm:f>
          </x14:formula1>
          <xm:sqref>C6</xm:sqref>
        </x14:dataValidation>
        <x14:dataValidation type="list" allowBlank="1" showInputMessage="1" showErrorMessage="1" xr:uid="{00000000-0002-0000-0F00-000002000000}">
          <x14:formula1>
            <xm:f>Listados!$A$1:$L$1</xm:f>
          </x14:formula1>
          <xm:sqref>D3:F3</xm:sqref>
        </x14:dataValidation>
        <x14:dataValidation type="list" allowBlank="1" showInputMessage="1" showErrorMessage="1" xr:uid="{00000000-0002-0000-0F00-000003000000}">
          <x14:formula1>
            <xm:f>Acumulado!$C$3:$C$131</xm:f>
          </x14:formula1>
          <xm:sqref>C7:C16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/>
  </sheetPr>
  <dimension ref="A1:U22"/>
  <sheetViews>
    <sheetView showGridLines="0" topLeftCell="A4" zoomScaleNormal="100" workbookViewId="0">
      <selection activeCell="G18" sqref="G18"/>
    </sheetView>
  </sheetViews>
  <sheetFormatPr baseColWidth="10" defaultColWidth="11.42578125" defaultRowHeight="15" x14ac:dyDescent="0.25"/>
  <cols>
    <col min="3" max="3" width="65.85546875" bestFit="1" customWidth="1"/>
    <col min="4" max="4" width="19.5703125" customWidth="1"/>
    <col min="5" max="5" width="13.85546875" bestFit="1" customWidth="1"/>
    <col min="6" max="6" width="12.85546875" bestFit="1" customWidth="1"/>
    <col min="7" max="7" width="11.42578125" customWidth="1"/>
    <col min="8" max="8" width="19.140625" customWidth="1"/>
    <col min="9" max="9" width="13.7109375" bestFit="1" customWidth="1"/>
  </cols>
  <sheetData>
    <row r="1" spans="1:21" x14ac:dyDescent="0.25">
      <c r="I1" s="38">
        <v>0.9</v>
      </c>
      <c r="J1" s="41"/>
    </row>
    <row r="2" spans="1:21" x14ac:dyDescent="0.25">
      <c r="C2" s="14" t="s">
        <v>0</v>
      </c>
      <c r="D2" s="243" t="s">
        <v>76</v>
      </c>
      <c r="E2" s="243"/>
      <c r="F2" s="243"/>
      <c r="I2" s="39" t="s">
        <v>1</v>
      </c>
      <c r="J2" s="42"/>
    </row>
    <row r="3" spans="1:21" x14ac:dyDescent="0.25">
      <c r="C3" s="7" t="s">
        <v>2</v>
      </c>
      <c r="D3" s="244" t="s">
        <v>77</v>
      </c>
      <c r="E3" s="244"/>
      <c r="F3" s="244"/>
      <c r="I3" s="39" t="s">
        <v>4</v>
      </c>
      <c r="J3" s="40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x14ac:dyDescent="0.25">
      <c r="A6">
        <f>+Mensual!B6</f>
        <v>4</v>
      </c>
      <c r="B6" s="3">
        <v>0.1</v>
      </c>
      <c r="C6" s="15" t="s">
        <v>7</v>
      </c>
      <c r="D6" s="33" t="str">
        <f>IF(VLOOKUP($C6,Mensual!$D$6:$G$163,2,0)&lt;0,0,VLOOKUP($C6,Mensual!$D$6:$G$163,2,0))</f>
        <v>RESULTADO SCORECARD</v>
      </c>
      <c r="E6" s="4">
        <f>IF(VLOOKUP($C6,Mensual!$D$6:$G$163,3,0)&lt;0,0,VLOOKUP($C6,Mensual!$D$6:$G$163,3,0))</f>
        <v>1</v>
      </c>
      <c r="F6" s="4">
        <f>IF(VLOOKUP($C6,Mensual!$D$6:$G$163,4,0)&lt;0,0,VLOOKUP($C6,Mensual!$D$6:$G$163,4,0))</f>
        <v>1.0325000000000002</v>
      </c>
      <c r="G6" s="4">
        <f>IF(VLOOKUP($C6,Mensual!$D$6:$H$163,5,0)&lt;0,0,VLOOKUP($C6,Mensual!$D$6:$H$163,5,0))</f>
        <v>1.0325000000000002</v>
      </c>
      <c r="H6" s="4">
        <f>+G6*B6</f>
        <v>0.10325000000000002</v>
      </c>
      <c r="I6" s="31">
        <f>+Mensual!J6</f>
        <v>0</v>
      </c>
      <c r="J6" s="31">
        <f>+Mensual!K6</f>
        <v>0</v>
      </c>
      <c r="K6" s="31">
        <f>+Mensual!L6</f>
        <v>0</v>
      </c>
      <c r="L6" s="31">
        <f>+Mensual!M6</f>
        <v>0</v>
      </c>
      <c r="M6" s="3"/>
      <c r="N6" s="3"/>
      <c r="O6" s="3"/>
      <c r="P6" s="3"/>
      <c r="Q6" s="3"/>
      <c r="R6" s="3"/>
      <c r="S6" s="3"/>
    </row>
    <row r="7" spans="1:21" x14ac:dyDescent="0.25">
      <c r="B7" s="3">
        <v>0.08</v>
      </c>
      <c r="C7" s="15" t="s">
        <v>78</v>
      </c>
      <c r="D7" s="33" t="str">
        <f>IF(VLOOKUP($C7,Mensual!$D$6:$G$135,2,0)&lt;0,0,VLOOKUP($C7,Mensual!$D$6:$G$135,2,0))</f>
        <v>Gate</v>
      </c>
      <c r="E7" s="4">
        <f>IF(VLOOKUP($C7,Mensual!$D$6:$G$163,3,0)&lt;0,0,VLOOKUP($C7,Mensual!$D$6:$G$163,3,0))</f>
        <v>0.2</v>
      </c>
      <c r="F7" s="4">
        <f>IF(VLOOKUP($C7,Mensual!$D$6:$G$163,4,0)&lt;0,0,VLOOKUP($C7,Mensual!$D$6:$G$163,4,0))</f>
        <v>0</v>
      </c>
      <c r="G7" s="4">
        <f>IF(VLOOKUP($C7,Mensual!$D$6:$H$163,5,0)&lt;0,0,VLOOKUP($C7,Mensual!$D$6:$H$163,5,0))</f>
        <v>0</v>
      </c>
      <c r="H7" s="4">
        <f t="shared" ref="H7:H16" si="0">+G7*B7</f>
        <v>0</v>
      </c>
      <c r="I7" s="36"/>
      <c r="J7" s="36"/>
      <c r="K7" s="36"/>
      <c r="L7" s="36"/>
      <c r="M7" s="1"/>
      <c r="N7" s="1"/>
      <c r="O7" s="1"/>
      <c r="P7" s="1"/>
      <c r="Q7" s="1"/>
      <c r="R7" s="1"/>
      <c r="S7" s="1"/>
    </row>
    <row r="8" spans="1:21" s="134" customFormat="1" x14ac:dyDescent="0.25">
      <c r="B8" s="135">
        <v>0.13</v>
      </c>
      <c r="C8" s="136" t="s">
        <v>79</v>
      </c>
      <c r="D8" s="137">
        <f>IF(VLOOKUP($C8,Mensual!$D$6:$G$135,2,0)&lt;0,0,VLOOKUP($C8,Mensual!$D$6:$G$135,2,0))</f>
        <v>0</v>
      </c>
      <c r="E8" s="138">
        <f>IF(VLOOKUP($C8,Mensual!$D$6:$G$163,3,0)&lt;0,0,VLOOKUP($C8,Mensual!$D$6:$G$163,3,0))</f>
        <v>0.05</v>
      </c>
      <c r="F8" s="138">
        <f>IF(VLOOKUP($C8,Mensual!$D$6:$G$163,4,0)&lt;0,0,VLOOKUP($C8,Mensual!$D$6:$G$163,4,0))</f>
        <v>0</v>
      </c>
      <c r="G8" s="138">
        <f>IF(VLOOKUP($C8,Mensual!$D$6:$H$163,5,0)&lt;0,0,VLOOKUP($C8,Mensual!$D$6:$H$163,5,0))</f>
        <v>0</v>
      </c>
      <c r="H8" s="138">
        <f t="shared" si="0"/>
        <v>0</v>
      </c>
      <c r="I8" s="139"/>
      <c r="J8" s="139"/>
      <c r="K8" s="139"/>
      <c r="L8" s="139"/>
      <c r="M8" s="140"/>
      <c r="N8" s="140"/>
      <c r="O8" s="140"/>
      <c r="P8" s="140"/>
      <c r="Q8" s="140"/>
      <c r="R8" s="140"/>
      <c r="S8" s="140"/>
    </row>
    <row r="9" spans="1:21" x14ac:dyDescent="0.25">
      <c r="B9" s="3">
        <v>0.08</v>
      </c>
      <c r="C9" s="15" t="s">
        <v>80</v>
      </c>
      <c r="D9" s="92" t="str">
        <f>IF(VLOOKUP($C9,Mensual!$D$6:$G$135,2,0)&lt;0,0,VLOOKUP($C9,Mensual!$D$6:$G$135,2,0))</f>
        <v>$/contenedor</v>
      </c>
      <c r="E9" s="93">
        <f>IF(VLOOKUP($C9,Mensual!$D$6:$G$163,3,0)&lt;0,0,VLOOKUP($C9,Mensual!$D$6:$G$163,3,0))</f>
        <v>0.1</v>
      </c>
      <c r="F9" s="93">
        <f>IF(VLOOKUP($C9,Mensual!$D$6:$G$163,4,0)&lt;0,0,VLOOKUP($C9,Mensual!$D$6:$G$163,4,0))</f>
        <v>0</v>
      </c>
      <c r="G9" s="93">
        <f>IF(VLOOKUP($C9,Mensual!$D$6:$H$163,5,0)&lt;0,0,VLOOKUP($C9,Mensual!$D$6:$H$163,5,0))</f>
        <v>0</v>
      </c>
      <c r="H9" s="93">
        <f t="shared" si="0"/>
        <v>0</v>
      </c>
      <c r="I9" s="94"/>
      <c r="J9" s="94"/>
      <c r="K9" s="94"/>
      <c r="L9" s="94"/>
      <c r="M9" s="1"/>
      <c r="N9" s="1"/>
      <c r="O9" s="1"/>
      <c r="P9" s="1"/>
      <c r="Q9" s="1"/>
      <c r="R9" s="1"/>
      <c r="S9" s="1"/>
    </row>
    <row r="10" spans="1:21" s="134" customFormat="1" x14ac:dyDescent="0.25">
      <c r="B10" s="135">
        <v>0.05</v>
      </c>
      <c r="C10" s="136" t="s">
        <v>81</v>
      </c>
      <c r="D10" s="137" t="str">
        <f>IF(VLOOKUP($C10,Mensual!$D$6:$G$135,2,0)&lt;0,0,VLOOKUP($C10,Mensual!$D$6:$G$135,2,0))</f>
        <v>$/contenedor</v>
      </c>
      <c r="E10" s="138">
        <f>IF(VLOOKUP($C10,Mensual!$D$6:$G$163,3,0)&lt;0,0,VLOOKUP($C10,Mensual!$D$6:$G$163,3,0))</f>
        <v>0.1</v>
      </c>
      <c r="F10" s="138">
        <f>IF(VLOOKUP($C10,Mensual!$D$6:$G$163,4,0)&lt;0,0,VLOOKUP($C10,Mensual!$D$6:$G$163,4,0))</f>
        <v>0</v>
      </c>
      <c r="G10" s="138">
        <f>IF(VLOOKUP($C10,Mensual!$D$6:$H$163,5,0)&lt;0,0,VLOOKUP($C10,Mensual!$D$6:$H$163,5,0))</f>
        <v>0</v>
      </c>
      <c r="H10" s="138">
        <f t="shared" si="0"/>
        <v>0</v>
      </c>
      <c r="I10" s="139"/>
      <c r="J10" s="139"/>
      <c r="K10" s="139"/>
      <c r="L10" s="139"/>
      <c r="M10" s="140"/>
      <c r="N10" s="140"/>
      <c r="O10" s="140"/>
      <c r="P10" s="140"/>
      <c r="Q10" s="140"/>
      <c r="R10" s="140"/>
      <c r="S10" s="140"/>
    </row>
    <row r="11" spans="1:21" x14ac:dyDescent="0.25">
      <c r="B11" s="3">
        <v>0.08</v>
      </c>
      <c r="C11" s="15" t="s">
        <v>82</v>
      </c>
      <c r="D11" s="33" t="str">
        <f>IF(VLOOKUP($C11,Mensual!$D$6:$G$135,2,0)&lt;0,0,VLOOKUP($C11,Mensual!$D$6:$G$135,2,0))</f>
        <v>dolares</v>
      </c>
      <c r="E11" s="4">
        <f>IF(VLOOKUP($C11,Mensual!$D$6:$G$163,3,0)&lt;0,0,VLOOKUP($C11,Mensual!$D$6:$G$163,3,0))</f>
        <v>0.1</v>
      </c>
      <c r="F11" s="4">
        <f>IF(VLOOKUP($C11,Mensual!$D$6:$G$163,4,0)&lt;0,0,VLOOKUP($C11,Mensual!$D$6:$G$163,4,0))</f>
        <v>4.66</v>
      </c>
      <c r="G11" s="4">
        <f>IF(VLOOKUP($C11,Mensual!$D$6:$H$163,5,0)&lt;0,0,VLOOKUP($C11,Mensual!$D$6:$H$163,5,0))</f>
        <v>0</v>
      </c>
      <c r="H11" s="4">
        <f t="shared" si="0"/>
        <v>0</v>
      </c>
      <c r="I11" s="36"/>
      <c r="J11" s="36"/>
      <c r="K11" s="36"/>
      <c r="L11" s="36"/>
      <c r="M11" s="1"/>
      <c r="N11" s="1"/>
      <c r="O11" s="1"/>
      <c r="P11" s="1"/>
      <c r="Q11" s="1"/>
      <c r="R11" s="1"/>
      <c r="S11" s="1"/>
    </row>
    <row r="12" spans="1:21" x14ac:dyDescent="0.25">
      <c r="B12" s="3">
        <v>0.08</v>
      </c>
      <c r="C12" s="15" t="s">
        <v>34</v>
      </c>
      <c r="D12" s="33">
        <f>IF(VLOOKUP($C12,Mensual!$D$6:$G$135,2,0)&lt;0,0,VLOOKUP($C12,Mensual!$D$6:$G$135,2,0))</f>
        <v>0</v>
      </c>
      <c r="E12" s="4">
        <f>IF(VLOOKUP($C12,Mensual!$D$6:$G$163,3,0)&lt;0,0,VLOOKUP($C12,Mensual!$D$6:$G$163,3,0))</f>
        <v>1</v>
      </c>
      <c r="F12" s="4">
        <f>IF(VLOOKUP($C12,Mensual!$D$6:$G$163,4,0)&lt;0,0,VLOOKUP($C12,Mensual!$D$6:$G$163,4,0))</f>
        <v>1</v>
      </c>
      <c r="G12" s="4">
        <f>IF(VLOOKUP($C12,Mensual!$D$6:$H$163,5,0)&lt;0,0,VLOOKUP($C12,Mensual!$D$6:$H$163,5,0))</f>
        <v>1</v>
      </c>
      <c r="H12" s="4">
        <f t="shared" si="0"/>
        <v>0.08</v>
      </c>
      <c r="I12" s="36"/>
      <c r="J12" s="36"/>
      <c r="K12" s="36"/>
      <c r="L12" s="36"/>
      <c r="M12" s="1"/>
      <c r="N12" s="1"/>
      <c r="O12" s="1"/>
      <c r="P12" s="1"/>
      <c r="Q12" s="1"/>
      <c r="R12" s="1"/>
      <c r="S12" s="1"/>
    </row>
    <row r="13" spans="1:21" x14ac:dyDescent="0.25">
      <c r="B13" s="3">
        <v>0.13</v>
      </c>
      <c r="C13" s="15" t="s">
        <v>83</v>
      </c>
      <c r="D13" s="33" t="str">
        <f>IF(VLOOKUP($C13,Mensual!$D$6:$G$135,2,0)&lt;0,0,VLOOKUP($C13,Mensual!$D$6:$G$135,2,0))</f>
        <v># de fallas</v>
      </c>
      <c r="E13" s="4">
        <f>IF(VLOOKUP($C13,Mensual!$D$6:$G$163,3,0)&lt;0,0,VLOOKUP($C13,Mensual!$D$6:$G$163,3,0))</f>
        <v>1</v>
      </c>
      <c r="F13" s="4">
        <f>IF(VLOOKUP($C13,Mensual!$D$6:$G$163,4,0)&lt;0,0,VLOOKUP($C13,Mensual!$D$6:$G$163,4,0))</f>
        <v>0</v>
      </c>
      <c r="G13" s="4">
        <f>IF(VLOOKUP($C13,Mensual!$D$6:$H$163,5,0)&lt;0,0,VLOOKUP($C13,Mensual!$D$6:$H$163,5,0))</f>
        <v>1</v>
      </c>
      <c r="H13" s="4">
        <f t="shared" si="0"/>
        <v>0.13</v>
      </c>
      <c r="I13" s="36"/>
      <c r="J13" s="36"/>
      <c r="K13" s="36"/>
      <c r="L13" s="36"/>
      <c r="M13" s="1"/>
      <c r="N13" s="1"/>
      <c r="O13" s="1"/>
      <c r="P13" s="1"/>
      <c r="Q13" s="1"/>
      <c r="R13" s="1"/>
      <c r="S13" s="1"/>
    </row>
    <row r="14" spans="1:21" x14ac:dyDescent="0.25">
      <c r="B14" s="3">
        <v>0.08</v>
      </c>
      <c r="C14" s="15" t="s">
        <v>84</v>
      </c>
      <c r="D14" s="33" t="str">
        <f>IF(VLOOKUP($C14,Mensual!$D$6:$G$135,2,0)&lt;0,0,VLOOKUP($C14,Mensual!$D$6:$G$135,2,0))</f>
        <v>Equipos</v>
      </c>
      <c r="E14" s="55">
        <f>IF(VLOOKUP($C14,Mensual!$D$6:$G$163,3,0)&lt;0,0,VLOOKUP($C14,Mensual!$D$6:$G$163,3,0))</f>
        <v>30</v>
      </c>
      <c r="F14" s="55">
        <f>IF(VLOOKUP($C14,Mensual!$D$6:$G$163,4,0)&lt;0,0,VLOOKUP($C14,Mensual!$D$6:$G$163,4,0))</f>
        <v>45</v>
      </c>
      <c r="G14" s="4">
        <f>IF(VLOOKUP($C14,Mensual!$D$6:$H$163,5,0)&lt;0,0,VLOOKUP($C14,Mensual!$D$6:$H$163,5,0))</f>
        <v>0</v>
      </c>
      <c r="H14" s="4">
        <f t="shared" si="0"/>
        <v>0</v>
      </c>
      <c r="I14" s="36"/>
      <c r="J14" s="36"/>
      <c r="K14" s="36"/>
      <c r="L14" s="36"/>
      <c r="M14" s="1"/>
      <c r="N14" s="1"/>
      <c r="O14" s="1"/>
      <c r="P14" s="1"/>
      <c r="Q14" s="1"/>
      <c r="R14" s="1"/>
      <c r="S14" s="1"/>
    </row>
    <row r="15" spans="1:21" x14ac:dyDescent="0.25">
      <c r="B15" s="3">
        <v>0.06</v>
      </c>
      <c r="C15" s="15" t="s">
        <v>85</v>
      </c>
      <c r="D15" s="33" t="str">
        <f>IF(VLOOKUP($C15,Mensual!$D$6:$G$135,2,0)&lt;0,0,VLOOKUP($C15,Mensual!$D$6:$G$135,2,0))</f>
        <v>generadores</v>
      </c>
      <c r="E15" s="55">
        <f>IF(VLOOKUP($C15,Mensual!$D$6:$G$163,3,0)&lt;0,0,VLOOKUP($C15,Mensual!$D$6:$G$163,3,0))</f>
        <v>1</v>
      </c>
      <c r="F15" s="55">
        <f>IF(VLOOKUP($C15,Mensual!$D$6:$G$163,4,0)&lt;0,0,VLOOKUP($C15,Mensual!$D$6:$G$163,4,0))</f>
        <v>44</v>
      </c>
      <c r="G15" s="4">
        <f>IF(VLOOKUP($C15,Mensual!$D$6:$H$163,5,0)&lt;0,0,VLOOKUP($C15,Mensual!$D$6:$H$163,5,0))</f>
        <v>0</v>
      </c>
      <c r="H15" s="4">
        <f t="shared" si="0"/>
        <v>0</v>
      </c>
      <c r="I15" s="36"/>
      <c r="J15" s="36"/>
      <c r="K15" s="36"/>
      <c r="L15" s="36"/>
      <c r="M15" s="1"/>
      <c r="N15" s="1"/>
      <c r="O15" s="1"/>
      <c r="P15" s="1"/>
      <c r="Q15" s="1"/>
      <c r="R15" s="1"/>
      <c r="S15" s="1"/>
    </row>
    <row r="16" spans="1:21" x14ac:dyDescent="0.25">
      <c r="B16" s="3">
        <v>0.13</v>
      </c>
      <c r="C16" s="15" t="s">
        <v>70</v>
      </c>
      <c r="D16" s="33" t="str">
        <f>IF(VLOOKUP($C16,Mensual!$D$6:$G$135,2,0)&lt;0,0,VLOOKUP($C16,Mensual!$D$6:$G$135,2,0))</f>
        <v>$/km</v>
      </c>
      <c r="E16" s="4">
        <f>IF(VLOOKUP($C16,Mensual!$D$6:$G$163,3,0)&lt;0,0,VLOOKUP($C16,Mensual!$D$6:$G$163,3,0))</f>
        <v>0.05</v>
      </c>
      <c r="F16" s="4">
        <f>IF(VLOOKUP($C16,Mensual!$D$6:$G$163,4,0)&lt;0,0,VLOOKUP($C16,Mensual!$D$6:$G$163,4,0))</f>
        <v>0.09</v>
      </c>
      <c r="G16" s="4">
        <f>IF(VLOOKUP($C16,Mensual!$D$6:$H$163,5,0)&lt;0,0,VLOOKUP($C16,Mensual!$D$6:$H$163,5,0))</f>
        <v>0</v>
      </c>
      <c r="H16" s="4">
        <f t="shared" si="0"/>
        <v>0</v>
      </c>
      <c r="I16" s="36"/>
      <c r="J16" s="36"/>
      <c r="K16" s="36"/>
      <c r="L16" s="36"/>
      <c r="M16" s="1"/>
      <c r="N16" s="1"/>
      <c r="O16" s="1"/>
      <c r="P16" s="1"/>
      <c r="Q16" s="1"/>
      <c r="R16" s="1"/>
      <c r="S16" s="1"/>
    </row>
    <row r="17" spans="2:19" x14ac:dyDescent="0.25">
      <c r="B17" s="1">
        <f>SUM(B6:B16)</f>
        <v>0.99999999999999989</v>
      </c>
      <c r="C17" s="2"/>
      <c r="D17" s="1"/>
      <c r="E17" s="1"/>
      <c r="F17" s="1"/>
      <c r="G17" s="1"/>
      <c r="H17" s="35">
        <f>SUM(H6:H16)</f>
        <v>0.31325000000000003</v>
      </c>
      <c r="I17" s="1">
        <f>+B17-B18</f>
        <v>0.81999999999999984</v>
      </c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2:19" x14ac:dyDescent="0.25">
      <c r="B18" s="1">
        <f>+B8+B10</f>
        <v>0.18</v>
      </c>
      <c r="C18" s="2"/>
      <c r="F18" t="s">
        <v>87</v>
      </c>
      <c r="H18" s="141">
        <f>+H17/I17</f>
        <v>0.38201219512195134</v>
      </c>
    </row>
    <row r="21" spans="2:19" x14ac:dyDescent="0.25">
      <c r="B21" t="s">
        <v>88</v>
      </c>
    </row>
    <row r="22" spans="2:19" x14ac:dyDescent="0.25">
      <c r="B22" t="s">
        <v>89</v>
      </c>
    </row>
  </sheetData>
  <mergeCells count="2">
    <mergeCell ref="D2:F2"/>
    <mergeCell ref="D3:F3"/>
  </mergeCells>
  <dataValidations count="1">
    <dataValidation type="list" allowBlank="1" showInputMessage="1" showErrorMessage="1" sqref="D2:F2" xr:uid="{00000000-0002-0000-1000-000000000000}">
      <formula1>INDIRECT(D3)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000-000001000000}">
          <x14:formula1>
            <xm:f>Acumulado!$C$3:$C$131</xm:f>
          </x14:formula1>
          <xm:sqref>C7:C16</xm:sqref>
        </x14:dataValidation>
        <x14:dataValidation type="list" allowBlank="1" showInputMessage="1" showErrorMessage="1" xr:uid="{00000000-0002-0000-1000-000002000000}">
          <x14:formula1>
            <xm:f>Listados!$A$1:$L$1</xm:f>
          </x14:formula1>
          <xm:sqref>D3:F3</xm:sqref>
        </x14:dataValidation>
        <x14:dataValidation type="list" allowBlank="1" showInputMessage="1" showErrorMessage="1" xr:uid="{00000000-0002-0000-1000-000003000000}">
          <x14:formula1>
            <xm:f>Acumulado!$C$3:$C$661</xm:f>
          </x14:formula1>
          <xm:sqref>C6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/>
  </sheetPr>
  <dimension ref="A1:U18"/>
  <sheetViews>
    <sheetView showGridLines="0" zoomScaleNormal="100" workbookViewId="0">
      <selection activeCell="J19" sqref="J19"/>
    </sheetView>
  </sheetViews>
  <sheetFormatPr baseColWidth="10" defaultColWidth="11.42578125" defaultRowHeight="15" x14ac:dyDescent="0.25"/>
  <cols>
    <col min="3" max="3" width="65.85546875" bestFit="1" customWidth="1"/>
    <col min="4" max="4" width="19.5703125" customWidth="1"/>
    <col min="5" max="5" width="13.85546875" bestFit="1" customWidth="1"/>
    <col min="6" max="6" width="12.85546875" bestFit="1" customWidth="1"/>
    <col min="7" max="7" width="11.42578125" customWidth="1"/>
    <col min="8" max="8" width="19.140625" customWidth="1"/>
    <col min="9" max="9" width="13.7109375" bestFit="1" customWidth="1"/>
  </cols>
  <sheetData>
    <row r="1" spans="1:21" x14ac:dyDescent="0.25">
      <c r="I1" s="38">
        <v>0.9</v>
      </c>
      <c r="J1" s="41"/>
    </row>
    <row r="2" spans="1:21" x14ac:dyDescent="0.25">
      <c r="C2" s="14" t="s">
        <v>0</v>
      </c>
      <c r="D2" s="243" t="s">
        <v>90</v>
      </c>
      <c r="E2" s="243"/>
      <c r="F2" s="243"/>
      <c r="I2" s="39" t="s">
        <v>1</v>
      </c>
      <c r="J2" s="42"/>
    </row>
    <row r="3" spans="1:21" x14ac:dyDescent="0.25">
      <c r="C3" s="7" t="s">
        <v>2</v>
      </c>
      <c r="D3" s="244" t="s">
        <v>91</v>
      </c>
      <c r="E3" s="244"/>
      <c r="F3" s="244"/>
      <c r="I3" s="39" t="s">
        <v>4</v>
      </c>
      <c r="J3" s="40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x14ac:dyDescent="0.25">
      <c r="A6">
        <f>+Mensual!B6</f>
        <v>4</v>
      </c>
      <c r="B6" s="3">
        <v>0.35</v>
      </c>
      <c r="C6" s="15" t="s">
        <v>7</v>
      </c>
      <c r="D6" s="33" t="str">
        <f>IF(VLOOKUP($C6,Mensual!$D$6:$G$163,2,0)&lt;0,0,VLOOKUP($C6,Mensual!$D$6:$G$163,2,0))</f>
        <v>RESULTADO SCORECARD</v>
      </c>
      <c r="E6" s="4">
        <f>IF(VLOOKUP($C6,Mensual!$D$6:$G$163,3,0)&lt;0,0,VLOOKUP($C6,Mensual!$D$6:$G$163,3,0))</f>
        <v>1</v>
      </c>
      <c r="F6" s="4">
        <f>IF(VLOOKUP($C6,Mensual!$D$6:$G$163,4,0)&lt;0,0,VLOOKUP($C6,Mensual!$D$6:$G$163,4,0))</f>
        <v>1.0325000000000002</v>
      </c>
      <c r="G6" s="4">
        <f>IF(VLOOKUP($C6,Mensual!$D$6:$H$163,5,0)&lt;0,0,VLOOKUP($C6,Mensual!$D$6:$H$163,5,0))</f>
        <v>1.0325000000000002</v>
      </c>
      <c r="H6" s="4">
        <f>+G6*B6</f>
        <v>0.36137500000000006</v>
      </c>
      <c r="I6" s="31">
        <f>+Mensual!J6</f>
        <v>0</v>
      </c>
      <c r="J6" s="31">
        <f>+Mensual!K6</f>
        <v>0</v>
      </c>
      <c r="K6" s="31">
        <f>+Mensual!L6</f>
        <v>0</v>
      </c>
      <c r="L6" s="31">
        <f>+Mensual!M6</f>
        <v>0</v>
      </c>
      <c r="M6" s="3"/>
      <c r="N6" s="3"/>
      <c r="O6" s="3"/>
      <c r="P6" s="3"/>
      <c r="Q6" s="3"/>
      <c r="R6" s="3"/>
      <c r="S6" s="3"/>
    </row>
    <row r="7" spans="1:21" x14ac:dyDescent="0.25">
      <c r="B7" s="3">
        <v>0.1</v>
      </c>
      <c r="C7" s="15" t="s">
        <v>92</v>
      </c>
      <c r="D7" s="33">
        <f>IF(VLOOKUP($C7,Mensual!$D$6:$G$135,2,0)&lt;0,0,VLOOKUP($C7,Mensual!$D$6:$G$135,2,0))</f>
        <v>0</v>
      </c>
      <c r="E7" s="4">
        <f>IF(VLOOKUP($C7,Mensual!$D$6:$G$163,3,0)&lt;0,0,VLOOKUP($C7,Mensual!$D$6:$G$163,3,0))</f>
        <v>0.2</v>
      </c>
      <c r="F7" s="4">
        <f>IF(VLOOKUP($C7,Mensual!$D$6:$G$163,4,0)&lt;0,0,VLOOKUP($C7,Mensual!$D$6:$G$163,4,0))</f>
        <v>0.3</v>
      </c>
      <c r="G7" s="4">
        <f>IF(VLOOKUP($C7,Mensual!$D$6:$H$163,5,0)&lt;0,0,VLOOKUP($C7,Mensual!$D$6:$H$163,5,0))</f>
        <v>1</v>
      </c>
      <c r="H7" s="4">
        <f t="shared" ref="H7:H16" si="0">+G7*B7</f>
        <v>0.1</v>
      </c>
      <c r="I7" s="36"/>
      <c r="J7" s="36"/>
      <c r="K7" s="36"/>
      <c r="L7" s="36"/>
      <c r="M7" s="1"/>
      <c r="N7" s="1"/>
      <c r="O7" s="1"/>
      <c r="P7" s="1"/>
      <c r="Q7" s="1"/>
      <c r="R7" s="1"/>
      <c r="S7" s="1"/>
    </row>
    <row r="8" spans="1:21" s="134" customFormat="1" x14ac:dyDescent="0.25">
      <c r="B8" s="135">
        <v>0.1</v>
      </c>
      <c r="C8" s="136" t="s">
        <v>93</v>
      </c>
      <c r="D8" s="137">
        <f>IF(VLOOKUP($C8,Mensual!$D$6:$G$135,2,0)&lt;0,0,VLOOKUP($C8,Mensual!$D$6:$G$135,2,0))</f>
        <v>0</v>
      </c>
      <c r="E8" s="138">
        <f>IF(VLOOKUP($C8,Mensual!$D$6:$G$163,3,0)&lt;0,0,VLOOKUP($C8,Mensual!$D$6:$G$163,3,0))</f>
        <v>0.1</v>
      </c>
      <c r="F8" s="138">
        <f>IF(VLOOKUP($C8,Mensual!$D$6:$G$163,4,0)&lt;0,0,VLOOKUP($C8,Mensual!$D$6:$G$163,4,0))</f>
        <v>0</v>
      </c>
      <c r="G8" s="138">
        <f>IF(VLOOKUP($C8,Mensual!$D$6:$H$163,5,0)&lt;0,0,VLOOKUP($C8,Mensual!$D$6:$H$163,5,0))</f>
        <v>0</v>
      </c>
      <c r="H8" s="138">
        <f t="shared" si="0"/>
        <v>0</v>
      </c>
      <c r="I8" s="139"/>
      <c r="J8" s="139"/>
      <c r="K8" s="139"/>
      <c r="L8" s="139"/>
      <c r="M8" s="140"/>
      <c r="N8" s="140"/>
      <c r="O8" s="140"/>
      <c r="P8" s="140"/>
      <c r="Q8" s="140"/>
      <c r="R8" s="140"/>
      <c r="S8" s="140"/>
    </row>
    <row r="9" spans="1:21" x14ac:dyDescent="0.25">
      <c r="B9" s="3">
        <v>0.05</v>
      </c>
      <c r="C9" s="15" t="s">
        <v>94</v>
      </c>
      <c r="D9" s="33">
        <f>IF(VLOOKUP($C9,Mensual!$D$6:$G$135,2,0)&lt;0,0,VLOOKUP($C9,Mensual!$D$6:$G$135,2,0))</f>
        <v>0</v>
      </c>
      <c r="E9" s="4">
        <f>IF(VLOOKUP($C9,Mensual!$D$6:$G$163,3,0)&lt;0,0,VLOOKUP($C9,Mensual!$D$6:$G$163,3,0))</f>
        <v>0</v>
      </c>
      <c r="F9" s="4">
        <f>IF(VLOOKUP($C9,Mensual!$D$6:$G$163,4,0)&lt;0,0,VLOOKUP($C9,Mensual!$D$6:$G$163,4,0))</f>
        <v>0</v>
      </c>
      <c r="G9" s="4">
        <f>IF(VLOOKUP($C9,Mensual!$D$6:$H$163,5,0)&lt;0,0,VLOOKUP($C9,Mensual!$D$6:$H$163,5,0))</f>
        <v>0</v>
      </c>
      <c r="H9" s="4">
        <f t="shared" si="0"/>
        <v>0</v>
      </c>
      <c r="I9" s="36"/>
      <c r="J9" s="36"/>
      <c r="K9" s="36"/>
      <c r="L9" s="36"/>
      <c r="M9" s="1"/>
      <c r="N9" s="1"/>
      <c r="O9" s="1"/>
      <c r="P9" s="1"/>
      <c r="Q9" s="1"/>
      <c r="R9" s="1"/>
      <c r="S9" s="1"/>
    </row>
    <row r="10" spans="1:21" x14ac:dyDescent="0.25">
      <c r="B10" s="3">
        <v>0.05</v>
      </c>
      <c r="C10" s="15" t="s">
        <v>95</v>
      </c>
      <c r="D10" s="33">
        <f>IF(VLOOKUP($C10,Mensual!$D$6:$G$135,2,0)&lt;0,0,VLOOKUP($C10,Mensual!$D$6:$G$135,2,0))</f>
        <v>0</v>
      </c>
      <c r="E10" s="4">
        <f>IF(VLOOKUP($C10,Mensual!$D$6:$G$163,3,0)&lt;0,0,VLOOKUP($C10,Mensual!$D$6:$G$163,3,0))</f>
        <v>0</v>
      </c>
      <c r="F10" s="4">
        <f>IF(VLOOKUP($C10,Mensual!$D$6:$G$163,4,0)&lt;0,0,VLOOKUP($C10,Mensual!$D$6:$G$163,4,0))</f>
        <v>0</v>
      </c>
      <c r="G10" s="4">
        <f>IF(VLOOKUP($C10,Mensual!$D$6:$H$163,5,0)&lt;0,0,VLOOKUP($C10,Mensual!$D$6:$H$163,5,0))</f>
        <v>1</v>
      </c>
      <c r="H10" s="4">
        <f t="shared" si="0"/>
        <v>0.05</v>
      </c>
      <c r="I10" s="36"/>
      <c r="J10" s="36"/>
      <c r="K10" s="36"/>
      <c r="L10" s="36"/>
      <c r="M10" s="1"/>
      <c r="N10" s="1"/>
      <c r="O10" s="1"/>
      <c r="P10" s="1"/>
      <c r="Q10" s="1"/>
      <c r="R10" s="1"/>
      <c r="S10" s="1"/>
    </row>
    <row r="11" spans="1:21" s="134" customFormat="1" x14ac:dyDescent="0.25">
      <c r="B11" s="135">
        <v>0.05</v>
      </c>
      <c r="C11" s="136" t="s">
        <v>96</v>
      </c>
      <c r="D11" s="137">
        <f>IF(VLOOKUP($C11,Mensual!$D$6:$G$135,2,0)&lt;0,0,VLOOKUP($C11,Mensual!$D$6:$G$135,2,0))</f>
        <v>0</v>
      </c>
      <c r="E11" s="138">
        <f>IF(VLOOKUP($C11,Mensual!$D$6:$G$163,3,0)&lt;0,0,VLOOKUP($C11,Mensual!$D$6:$G$163,3,0))</f>
        <v>0</v>
      </c>
      <c r="F11" s="138">
        <f>IF(VLOOKUP($C11,Mensual!$D$6:$G$163,4,0)&lt;0,0,VLOOKUP($C11,Mensual!$D$6:$G$163,4,0))</f>
        <v>0</v>
      </c>
      <c r="G11" s="138">
        <f>IF(VLOOKUP($C11,Mensual!$D$6:$H$163,5,0)&lt;0,0,VLOOKUP($C11,Mensual!$D$6:$H$163,5,0))</f>
        <v>0</v>
      </c>
      <c r="H11" s="138">
        <f t="shared" ref="H11" si="1">+G11*B11</f>
        <v>0</v>
      </c>
      <c r="I11" s="139"/>
      <c r="J11" s="139"/>
      <c r="K11" s="139"/>
      <c r="L11" s="139"/>
      <c r="M11" s="140"/>
      <c r="N11" s="140"/>
      <c r="O11" s="140"/>
      <c r="P11" s="140"/>
      <c r="Q11" s="140"/>
      <c r="R11" s="140"/>
      <c r="S11" s="140"/>
    </row>
    <row r="12" spans="1:21" x14ac:dyDescent="0.25">
      <c r="B12" s="3">
        <v>0.05</v>
      </c>
      <c r="C12" s="15" t="s">
        <v>82</v>
      </c>
      <c r="D12" s="33" t="str">
        <f>IF(VLOOKUP($C12,Mensual!$D$6:$G$135,2,0)&lt;0,0,VLOOKUP($C12,Mensual!$D$6:$G$135,2,0))</f>
        <v>dolares</v>
      </c>
      <c r="E12" s="4">
        <f>IF(VLOOKUP($C12,Mensual!$D$6:$G$163,3,0)&lt;0,0,VLOOKUP($C12,Mensual!$D$6:$G$163,3,0))</f>
        <v>0.1</v>
      </c>
      <c r="F12" s="4">
        <f>IF(VLOOKUP($C12,Mensual!$D$6:$G$163,4,0)&lt;0,0,VLOOKUP($C12,Mensual!$D$6:$G$163,4,0))</f>
        <v>4.66</v>
      </c>
      <c r="G12" s="4">
        <f>IF(VLOOKUP($C12,Mensual!$D$6:$H$163,5,0)&lt;0,0,VLOOKUP($C12,Mensual!$D$6:$H$163,5,0))</f>
        <v>0</v>
      </c>
      <c r="H12" s="4">
        <f t="shared" si="0"/>
        <v>0</v>
      </c>
      <c r="I12" s="36"/>
      <c r="J12" s="36"/>
      <c r="K12" s="36"/>
      <c r="L12" s="36"/>
      <c r="M12" s="1"/>
      <c r="N12" s="1"/>
      <c r="O12" s="1"/>
      <c r="P12" s="1"/>
      <c r="Q12" s="1"/>
      <c r="R12" s="1"/>
      <c r="S12" s="1"/>
    </row>
    <row r="13" spans="1:21" x14ac:dyDescent="0.25">
      <c r="B13" s="3">
        <v>0.05</v>
      </c>
      <c r="C13" s="15" t="s">
        <v>34</v>
      </c>
      <c r="D13" s="33">
        <f>IF(VLOOKUP($C13,Mensual!$D$6:$G$135,2,0)&lt;0,0,VLOOKUP($C13,Mensual!$D$6:$G$135,2,0))</f>
        <v>0</v>
      </c>
      <c r="E13" s="4">
        <f>IF(VLOOKUP($C13,Mensual!$D$6:$G$163,3,0)&lt;0,0,VLOOKUP($C13,Mensual!$D$6:$G$163,3,0))</f>
        <v>1</v>
      </c>
      <c r="F13" s="4">
        <f>IF(VLOOKUP($C13,Mensual!$D$6:$G$163,4,0)&lt;0,0,VLOOKUP($C13,Mensual!$D$6:$G$163,4,0))</f>
        <v>1</v>
      </c>
      <c r="G13" s="4">
        <f>IF(VLOOKUP($C13,Mensual!$D$6:$H$163,5,0)&lt;0,0,VLOOKUP($C13,Mensual!$D$6:$H$163,5,0))</f>
        <v>1</v>
      </c>
      <c r="H13" s="4">
        <f t="shared" si="0"/>
        <v>0.05</v>
      </c>
      <c r="I13" s="36"/>
      <c r="J13" s="36"/>
      <c r="K13" s="36"/>
      <c r="L13" s="36"/>
      <c r="M13" s="1"/>
      <c r="N13" s="1"/>
      <c r="O13" s="1"/>
      <c r="P13" s="1"/>
      <c r="Q13" s="1"/>
      <c r="R13" s="1"/>
      <c r="S13" s="1"/>
    </row>
    <row r="14" spans="1:21" x14ac:dyDescent="0.25">
      <c r="B14" s="3">
        <v>0.05</v>
      </c>
      <c r="C14" s="15" t="s">
        <v>97</v>
      </c>
      <c r="D14" s="33" t="str">
        <f>IF(VLOOKUP($C14,Mensual!$D$6:$G$135,2,0)&lt;0,0,VLOOKUP($C14,Mensual!$D$6:$G$135,2,0))</f>
        <v>Equipos</v>
      </c>
      <c r="E14" s="55">
        <f>IF(VLOOKUP($C14,Mensual!$D$6:$G$163,3,0)&lt;0,0,VLOOKUP($C14,Mensual!$D$6:$G$163,3,0))</f>
        <v>6</v>
      </c>
      <c r="F14" s="55">
        <f>IF(VLOOKUP($C14,Mensual!$D$6:$G$163,4,0)&lt;0,0,VLOOKUP($C14,Mensual!$D$6:$G$163,4,0))</f>
        <v>7</v>
      </c>
      <c r="G14" s="4">
        <f>IF(VLOOKUP($C14,Mensual!$D$6:$H$163,5,0)&lt;0,0,VLOOKUP($C14,Mensual!$D$6:$H$163,5,0))</f>
        <v>0</v>
      </c>
      <c r="H14" s="4">
        <f t="shared" si="0"/>
        <v>0</v>
      </c>
      <c r="I14" s="36"/>
      <c r="J14" s="36"/>
      <c r="K14" s="36"/>
      <c r="L14" s="36"/>
      <c r="M14" s="1"/>
      <c r="N14" s="1"/>
      <c r="O14" s="1"/>
      <c r="P14" s="1"/>
      <c r="Q14" s="1"/>
      <c r="R14" s="1"/>
      <c r="S14" s="1"/>
    </row>
    <row r="15" spans="1:21" x14ac:dyDescent="0.25">
      <c r="B15" s="3">
        <v>0.05</v>
      </c>
      <c r="C15" s="15" t="s">
        <v>85</v>
      </c>
      <c r="D15" s="33" t="str">
        <f>IF(VLOOKUP($C15,Mensual!$D$6:$G$135,2,0)&lt;0,0,VLOOKUP($C15,Mensual!$D$6:$G$135,2,0))</f>
        <v>generadores</v>
      </c>
      <c r="E15" s="55">
        <f>IF(VLOOKUP($C15,Mensual!$D$6:$G$163,3,0)&lt;0,0,VLOOKUP($C15,Mensual!$D$6:$G$163,3,0))</f>
        <v>1</v>
      </c>
      <c r="F15" s="55">
        <f>IF(VLOOKUP($C15,Mensual!$D$6:$G$163,4,0)&lt;0,0,VLOOKUP($C15,Mensual!$D$6:$G$163,4,0))</f>
        <v>44</v>
      </c>
      <c r="G15" s="4">
        <f>IF(VLOOKUP($C15,Mensual!$D$6:$H$163,5,0)&lt;0,0,VLOOKUP($C15,Mensual!$D$6:$H$163,5,0))</f>
        <v>0</v>
      </c>
      <c r="H15" s="4">
        <f t="shared" si="0"/>
        <v>0</v>
      </c>
      <c r="I15" s="36"/>
      <c r="J15" s="36"/>
      <c r="K15" s="36"/>
      <c r="L15" s="36"/>
      <c r="M15" s="1"/>
      <c r="N15" s="1"/>
      <c r="O15" s="1"/>
      <c r="P15" s="1"/>
      <c r="Q15" s="1"/>
      <c r="R15" s="1"/>
      <c r="S15" s="1"/>
    </row>
    <row r="16" spans="1:21" x14ac:dyDescent="0.25">
      <c r="B16" s="3">
        <v>0.1</v>
      </c>
      <c r="C16" s="15" t="s">
        <v>70</v>
      </c>
      <c r="D16" s="33" t="str">
        <f>IF(VLOOKUP($C16,Mensual!$D$6:$G$135,2,0)&lt;0,0,VLOOKUP($C16,Mensual!$D$6:$G$135,2,0))</f>
        <v>$/km</v>
      </c>
      <c r="E16" s="4">
        <f>IF(VLOOKUP($C16,Mensual!$D$6:$G$163,3,0)&lt;0,0,VLOOKUP($C16,Mensual!$D$6:$G$163,3,0))</f>
        <v>0.05</v>
      </c>
      <c r="F16" s="4">
        <f>IF(VLOOKUP($C16,Mensual!$D$6:$G$163,4,0)&lt;0,0,VLOOKUP($C16,Mensual!$D$6:$G$163,4,0))</f>
        <v>0.09</v>
      </c>
      <c r="G16" s="4">
        <f>IF(VLOOKUP($C16,Mensual!$D$6:$H$163,5,0)&lt;0,0,VLOOKUP($C16,Mensual!$D$6:$H$163,5,0))</f>
        <v>0</v>
      </c>
      <c r="H16" s="4">
        <f t="shared" si="0"/>
        <v>0</v>
      </c>
      <c r="I16" s="36"/>
      <c r="J16" s="36"/>
      <c r="K16" s="36"/>
      <c r="L16" s="36"/>
      <c r="M16" s="1"/>
      <c r="N16" s="1"/>
      <c r="O16" s="1"/>
      <c r="P16" s="1"/>
      <c r="Q16" s="1"/>
      <c r="R16" s="1"/>
      <c r="S16" s="1"/>
    </row>
    <row r="17" spans="2:19" x14ac:dyDescent="0.25">
      <c r="B17" s="1">
        <f>SUM(B6:B16)</f>
        <v>1.0000000000000002</v>
      </c>
      <c r="C17" s="2"/>
      <c r="D17" s="1"/>
      <c r="E17" s="1"/>
      <c r="F17" s="1"/>
      <c r="G17" s="1"/>
      <c r="H17" s="35">
        <f>SUM(H6:H16)</f>
        <v>0.56137500000000018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2:19" x14ac:dyDescent="0.25">
      <c r="C18" s="2"/>
      <c r="F18" t="s">
        <v>98</v>
      </c>
      <c r="H18" s="141">
        <f>+H17/85%</f>
        <v>0.66044117647058842</v>
      </c>
    </row>
  </sheetData>
  <mergeCells count="2">
    <mergeCell ref="D2:F2"/>
    <mergeCell ref="D3:F3"/>
  </mergeCells>
  <dataValidations count="1">
    <dataValidation type="list" allowBlank="1" showInputMessage="1" showErrorMessage="1" sqref="D2:F2" xr:uid="{00000000-0002-0000-1100-000000000000}">
      <formula1>INDIRECT(D3)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100-000001000000}">
          <x14:formula1>
            <xm:f>Listados!$A$1:$L$1</xm:f>
          </x14:formula1>
          <xm:sqref>D3:F3</xm:sqref>
        </x14:dataValidation>
        <x14:dataValidation type="list" allowBlank="1" showInputMessage="1" showErrorMessage="1" xr:uid="{00000000-0002-0000-1100-000002000000}">
          <x14:formula1>
            <xm:f>Acumulado!$C$3:$C$661</xm:f>
          </x14:formula1>
          <xm:sqref>C6</xm:sqref>
        </x14:dataValidation>
        <x14:dataValidation type="list" allowBlank="1" showInputMessage="1" showErrorMessage="1" xr:uid="{00000000-0002-0000-1100-000003000000}">
          <x14:formula1>
            <xm:f>Acumulado!$C$3:$C$131</xm:f>
          </x14:formula1>
          <xm:sqref>C7:C16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/>
  </sheetPr>
  <dimension ref="A1:U19"/>
  <sheetViews>
    <sheetView showGridLines="0" topLeftCell="C1" zoomScale="85" zoomScaleNormal="85" workbookViewId="0">
      <selection activeCell="C13" sqref="C13"/>
    </sheetView>
  </sheetViews>
  <sheetFormatPr baseColWidth="10" defaultColWidth="11.42578125" defaultRowHeight="15" x14ac:dyDescent="0.25"/>
  <cols>
    <col min="3" max="3" width="65.85546875" bestFit="1" customWidth="1"/>
    <col min="4" max="4" width="19.5703125" customWidth="1"/>
    <col min="5" max="5" width="13.85546875" bestFit="1" customWidth="1"/>
    <col min="6" max="6" width="12.85546875" bestFit="1" customWidth="1"/>
    <col min="7" max="7" width="11.42578125" customWidth="1"/>
    <col min="8" max="8" width="19.140625" customWidth="1"/>
    <col min="9" max="9" width="13.7109375" bestFit="1" customWidth="1"/>
  </cols>
  <sheetData>
    <row r="1" spans="1:21" x14ac:dyDescent="0.25">
      <c r="I1" s="38">
        <v>0.9</v>
      </c>
      <c r="J1" s="41"/>
    </row>
    <row r="2" spans="1:21" x14ac:dyDescent="0.25">
      <c r="C2" s="14" t="s">
        <v>0</v>
      </c>
      <c r="D2" s="243" t="s">
        <v>90</v>
      </c>
      <c r="E2" s="243"/>
      <c r="F2" s="243"/>
      <c r="I2" s="39" t="s">
        <v>1</v>
      </c>
      <c r="J2" s="42"/>
    </row>
    <row r="3" spans="1:21" x14ac:dyDescent="0.25">
      <c r="C3" s="7" t="s">
        <v>2</v>
      </c>
      <c r="D3" s="244" t="s">
        <v>91</v>
      </c>
      <c r="E3" s="244"/>
      <c r="F3" s="244"/>
      <c r="I3" s="39" t="s">
        <v>4</v>
      </c>
      <c r="J3" s="40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x14ac:dyDescent="0.25">
      <c r="A6">
        <f>+Mensual!B6</f>
        <v>4</v>
      </c>
      <c r="B6" s="3">
        <v>0.1</v>
      </c>
      <c r="C6" s="15" t="s">
        <v>7</v>
      </c>
      <c r="D6" s="33" t="str">
        <f>IF(VLOOKUP($C6,Mensual!$D$6:$G$163,2,0)&lt;0,0,VLOOKUP($C6,Mensual!$D$6:$G$163,2,0))</f>
        <v>RESULTADO SCORECARD</v>
      </c>
      <c r="E6" s="4">
        <f>IF(VLOOKUP($C6,Mensual!$D$6:$G$163,3,0)&lt;0,0,VLOOKUP($C6,Mensual!$D$6:$G$163,3,0))</f>
        <v>1</v>
      </c>
      <c r="F6" s="4">
        <f>IF(VLOOKUP($C6,Mensual!$D$6:$G$163,4,0)&lt;0,0,VLOOKUP($C6,Mensual!$D$6:$G$163,4,0))</f>
        <v>1.0325000000000002</v>
      </c>
      <c r="G6" s="4">
        <f>+F6*A6</f>
        <v>4.1300000000000008</v>
      </c>
      <c r="H6" s="4">
        <f>+G6*B6</f>
        <v>0.41300000000000009</v>
      </c>
      <c r="I6" s="31">
        <f>+Mensual!J6</f>
        <v>0</v>
      </c>
      <c r="J6" s="31">
        <f>+Mensual!K6</f>
        <v>0</v>
      </c>
      <c r="K6" s="31">
        <f>+Mensual!L6</f>
        <v>0</v>
      </c>
      <c r="L6" s="31">
        <f>+Mensual!M6</f>
        <v>0</v>
      </c>
      <c r="M6" s="3"/>
      <c r="N6" s="3"/>
      <c r="O6" s="3"/>
      <c r="P6" s="3"/>
      <c r="Q6" s="3"/>
      <c r="R6" s="3"/>
      <c r="S6" s="3"/>
    </row>
    <row r="7" spans="1:21" x14ac:dyDescent="0.25">
      <c r="B7" s="3">
        <v>0.11</v>
      </c>
      <c r="C7" s="15" t="s">
        <v>92</v>
      </c>
      <c r="D7" s="33">
        <f>IF(VLOOKUP($C7,Mensual!$D$6:$G$135,2,0)&lt;0,0,VLOOKUP($C7,Mensual!$D$6:$G$135,2,0))</f>
        <v>0</v>
      </c>
      <c r="E7" s="4">
        <f>IF(VLOOKUP($C7,Mensual!$D$6:$G$163,3,0)&lt;0,0,VLOOKUP($C7,Mensual!$D$6:$G$163,3,0))</f>
        <v>0.2</v>
      </c>
      <c r="F7" s="4">
        <f>IF(VLOOKUP($C7,Mensual!$D$6:$G$163,4,0)&lt;0,0,VLOOKUP($C7,Mensual!$D$6:$G$163,4,0))</f>
        <v>0.3</v>
      </c>
      <c r="G7" s="4">
        <f>IF(VLOOKUP($C7,Mensual!$D$6:$H$163,5,0)&lt;0,0,VLOOKUP($C7,Mensual!$D$6:$H$163,5,0))</f>
        <v>1</v>
      </c>
      <c r="H7" s="4">
        <f t="shared" ref="H7:H16" si="0">+G7*B7</f>
        <v>0.11</v>
      </c>
      <c r="I7" s="36"/>
      <c r="J7" s="36"/>
      <c r="K7" s="36"/>
      <c r="L7" s="36"/>
      <c r="M7" s="1"/>
      <c r="N7" s="1"/>
      <c r="O7" s="1"/>
      <c r="P7" s="1"/>
      <c r="Q7" s="1"/>
      <c r="R7" s="1"/>
      <c r="S7" s="1"/>
    </row>
    <row r="8" spans="1:21" s="134" customFormat="1" x14ac:dyDescent="0.25">
      <c r="B8" s="135">
        <v>0.12</v>
      </c>
      <c r="C8" s="136" t="s">
        <v>93</v>
      </c>
      <c r="D8" s="137">
        <f>IF(VLOOKUP($C8,Mensual!$D$6:$G$135,2,0)&lt;0,0,VLOOKUP($C8,Mensual!$D$6:$G$135,2,0))</f>
        <v>0</v>
      </c>
      <c r="E8" s="138">
        <f>IF(VLOOKUP($C8,Mensual!$D$6:$G$163,3,0)&lt;0,0,VLOOKUP($C8,Mensual!$D$6:$G$163,3,0))</f>
        <v>0.1</v>
      </c>
      <c r="F8" s="138">
        <f>IF(VLOOKUP($C8,Mensual!$D$6:$G$163,4,0)&lt;0,0,VLOOKUP($C8,Mensual!$D$6:$G$163,4,0))</f>
        <v>0</v>
      </c>
      <c r="G8" s="138">
        <f>IF(VLOOKUP($C8,Mensual!$D$6:$H$163,5,0)&lt;0,0,VLOOKUP($C8,Mensual!$D$6:$H$163,5,0))</f>
        <v>0</v>
      </c>
      <c r="H8" s="138">
        <f t="shared" si="0"/>
        <v>0</v>
      </c>
      <c r="I8" s="139"/>
      <c r="J8" s="139"/>
      <c r="K8" s="139"/>
      <c r="L8" s="139"/>
      <c r="M8" s="140"/>
      <c r="N8" s="140"/>
      <c r="O8" s="140"/>
      <c r="P8" s="140"/>
      <c r="Q8" s="140"/>
      <c r="R8" s="140"/>
      <c r="S8" s="140"/>
    </row>
    <row r="9" spans="1:21" x14ac:dyDescent="0.25">
      <c r="B9" s="3">
        <v>0.08</v>
      </c>
      <c r="C9" s="15" t="s">
        <v>94</v>
      </c>
      <c r="D9" s="33">
        <f>IF(VLOOKUP($C9,Mensual!$D$6:$G$135,2,0)&lt;0,0,VLOOKUP($C9,Mensual!$D$6:$G$135,2,0))</f>
        <v>0</v>
      </c>
      <c r="E9" s="4">
        <f>IF(VLOOKUP($C9,Mensual!$D$6:$G$163,3,0)&lt;0,0,VLOOKUP($C9,Mensual!$D$6:$G$163,3,0))</f>
        <v>0</v>
      </c>
      <c r="F9" s="4">
        <f>IF(VLOOKUP($C9,Mensual!$D$6:$G$163,4,0)&lt;0,0,VLOOKUP($C9,Mensual!$D$6:$G$163,4,0))</f>
        <v>0</v>
      </c>
      <c r="G9" s="4">
        <f>IF(VLOOKUP($C9,Mensual!$D$6:$H$163,5,0)&lt;0,0,VLOOKUP($C9,Mensual!$D$6:$H$163,5,0))</f>
        <v>0</v>
      </c>
      <c r="H9" s="4">
        <f t="shared" si="0"/>
        <v>0</v>
      </c>
      <c r="I9" s="36"/>
      <c r="J9" s="36"/>
      <c r="K9" s="36"/>
      <c r="L9" s="36"/>
      <c r="M9" s="1"/>
      <c r="N9" s="1"/>
      <c r="O9" s="1"/>
      <c r="P9" s="1"/>
      <c r="Q9" s="1"/>
      <c r="R9" s="1"/>
      <c r="S9" s="1"/>
    </row>
    <row r="10" spans="1:21" x14ac:dyDescent="0.25">
      <c r="B10" s="3">
        <v>0.08</v>
      </c>
      <c r="C10" s="15" t="s">
        <v>95</v>
      </c>
      <c r="D10" s="33">
        <f>IF(VLOOKUP($C10,Mensual!$D$6:$G$135,2,0)&lt;0,0,VLOOKUP($C10,Mensual!$D$6:$G$135,2,0))</f>
        <v>0</v>
      </c>
      <c r="E10" s="4">
        <f>IF(VLOOKUP($C10,Mensual!$D$6:$G$163,3,0)&lt;0,0,VLOOKUP($C10,Mensual!$D$6:$G$163,3,0))</f>
        <v>0</v>
      </c>
      <c r="F10" s="4">
        <f>IF(VLOOKUP($C10,Mensual!$D$6:$G$163,4,0)&lt;0,0,VLOOKUP($C10,Mensual!$D$6:$G$163,4,0))</f>
        <v>0</v>
      </c>
      <c r="G10" s="4">
        <f>IF(VLOOKUP($C10,Mensual!$D$6:$H$163,5,0)&lt;0,0,VLOOKUP($C10,Mensual!$D$6:$H$163,5,0))</f>
        <v>1</v>
      </c>
      <c r="H10" s="4">
        <f t="shared" si="0"/>
        <v>0.08</v>
      </c>
      <c r="I10" s="36"/>
      <c r="J10" s="36"/>
      <c r="K10" s="36"/>
      <c r="L10" s="36"/>
      <c r="M10" s="1"/>
      <c r="N10" s="1"/>
      <c r="O10" s="1"/>
      <c r="P10" s="1"/>
      <c r="Q10" s="1"/>
      <c r="R10" s="1"/>
      <c r="S10" s="1"/>
    </row>
    <row r="11" spans="1:21" s="134" customFormat="1" x14ac:dyDescent="0.25">
      <c r="B11" s="135">
        <v>0.08</v>
      </c>
      <c r="C11" s="136" t="s">
        <v>96</v>
      </c>
      <c r="D11" s="137">
        <f>IF(VLOOKUP($C11,Mensual!$D$6:$G$135,2,0)&lt;0,0,VLOOKUP($C11,Mensual!$D$6:$G$135,2,0))</f>
        <v>0</v>
      </c>
      <c r="E11" s="138">
        <f>IF(VLOOKUP($C11,Mensual!$D$6:$G$163,3,0)&lt;0,0,VLOOKUP($C11,Mensual!$D$6:$G$163,3,0))</f>
        <v>0</v>
      </c>
      <c r="F11" s="138">
        <f>IF(VLOOKUP($C11,Mensual!$D$6:$G$163,4,0)&lt;0,0,VLOOKUP($C11,Mensual!$D$6:$G$163,4,0))</f>
        <v>0</v>
      </c>
      <c r="G11" s="138">
        <f>IF(VLOOKUP($C11,Mensual!$D$6:$H$163,5,0)&lt;0,0,VLOOKUP($C11,Mensual!$D$6:$H$163,5,0))</f>
        <v>0</v>
      </c>
      <c r="H11" s="138">
        <f t="shared" si="0"/>
        <v>0</v>
      </c>
      <c r="I11" s="139"/>
      <c r="J11" s="139"/>
      <c r="K11" s="139"/>
      <c r="L11" s="139"/>
      <c r="M11" s="140"/>
      <c r="N11" s="140"/>
      <c r="O11" s="140"/>
      <c r="P11" s="140"/>
      <c r="Q11" s="140"/>
      <c r="R11" s="140"/>
      <c r="S11" s="140"/>
    </row>
    <row r="12" spans="1:21" x14ac:dyDescent="0.25">
      <c r="B12" s="3">
        <v>0.08</v>
      </c>
      <c r="C12" s="15" t="s">
        <v>82</v>
      </c>
      <c r="D12" s="33" t="str">
        <f>IF(VLOOKUP($C12,Mensual!$D$6:$G$135,2,0)&lt;0,0,VLOOKUP($C12,Mensual!$D$6:$G$135,2,0))</f>
        <v>dolares</v>
      </c>
      <c r="E12" s="4">
        <f>IF(VLOOKUP($C12,Mensual!$D$6:$G$163,3,0)&lt;0,0,VLOOKUP($C12,Mensual!$D$6:$G$163,3,0))</f>
        <v>0.1</v>
      </c>
      <c r="F12" s="4">
        <f>IF(VLOOKUP($C12,Mensual!$D$6:$G$163,4,0)&lt;0,0,VLOOKUP($C12,Mensual!$D$6:$G$163,4,0))</f>
        <v>4.66</v>
      </c>
      <c r="G12" s="4">
        <f>IF(VLOOKUP($C12,Mensual!$D$6:$H$163,5,0)&lt;0,0,VLOOKUP($C12,Mensual!$D$6:$H$163,5,0))</f>
        <v>0</v>
      </c>
      <c r="H12" s="4">
        <f t="shared" si="0"/>
        <v>0</v>
      </c>
      <c r="I12" s="36"/>
      <c r="J12" s="36"/>
      <c r="K12" s="36"/>
      <c r="L12" s="36"/>
      <c r="M12" s="1"/>
      <c r="N12" s="1"/>
      <c r="O12" s="1"/>
      <c r="P12" s="1"/>
      <c r="Q12" s="1"/>
      <c r="R12" s="1"/>
      <c r="S12" s="1"/>
    </row>
    <row r="13" spans="1:21" x14ac:dyDescent="0.25">
      <c r="B13" s="3">
        <v>0.08</v>
      </c>
      <c r="C13" s="15" t="s">
        <v>34</v>
      </c>
      <c r="D13" s="33">
        <f>IF(VLOOKUP($C13,Mensual!$D$6:$G$135,2,0)&lt;0,0,VLOOKUP($C13,Mensual!$D$6:$G$135,2,0))</f>
        <v>0</v>
      </c>
      <c r="E13" s="4">
        <f>IF(VLOOKUP($C13,Mensual!$D$6:$G$163,3,0)&lt;0,0,VLOOKUP($C13,Mensual!$D$6:$G$163,3,0))</f>
        <v>1</v>
      </c>
      <c r="F13" s="4">
        <f>IF(VLOOKUP($C13,Mensual!$D$6:$G$163,4,0)&lt;0,0,VLOOKUP($C13,Mensual!$D$6:$G$163,4,0))</f>
        <v>1</v>
      </c>
      <c r="G13" s="4">
        <f>IF(VLOOKUP($C13,Mensual!$D$6:$H$163,5,0)&lt;0,0,VLOOKUP($C13,Mensual!$D$6:$H$163,5,0))</f>
        <v>1</v>
      </c>
      <c r="H13" s="4">
        <f t="shared" si="0"/>
        <v>0.08</v>
      </c>
      <c r="I13" s="36"/>
      <c r="J13" s="36"/>
      <c r="K13" s="36"/>
      <c r="L13" s="36"/>
      <c r="M13" s="1"/>
      <c r="N13" s="1"/>
      <c r="O13" s="1"/>
      <c r="P13" s="1"/>
      <c r="Q13" s="1"/>
      <c r="R13" s="1"/>
      <c r="S13" s="1"/>
    </row>
    <row r="14" spans="1:21" x14ac:dyDescent="0.25">
      <c r="B14" s="3">
        <v>0.08</v>
      </c>
      <c r="C14" s="15" t="s">
        <v>97</v>
      </c>
      <c r="D14" s="33" t="str">
        <f>IF(VLOOKUP($C14,Mensual!$D$6:$G$135,2,0)&lt;0,0,VLOOKUP($C14,Mensual!$D$6:$G$135,2,0))</f>
        <v>Equipos</v>
      </c>
      <c r="E14" s="55">
        <f>IF(VLOOKUP($C14,Mensual!$D$6:$G$163,3,0)&lt;0,0,VLOOKUP($C14,Mensual!$D$6:$G$163,3,0))</f>
        <v>6</v>
      </c>
      <c r="F14" s="55">
        <f>IF(VLOOKUP($C14,Mensual!$D$6:$G$163,4,0)&lt;0,0,VLOOKUP($C14,Mensual!$D$6:$G$163,4,0))</f>
        <v>7</v>
      </c>
      <c r="G14" s="4">
        <f>IF(VLOOKUP($C14,Mensual!$D$6:$H$163,5,0)&lt;0,0,VLOOKUP($C14,Mensual!$D$6:$H$163,5,0))</f>
        <v>0</v>
      </c>
      <c r="H14" s="4">
        <f t="shared" si="0"/>
        <v>0</v>
      </c>
      <c r="I14" s="36"/>
      <c r="J14" s="36"/>
      <c r="K14" s="36"/>
      <c r="L14" s="36"/>
      <c r="M14" s="1"/>
      <c r="N14" s="1"/>
      <c r="O14" s="1"/>
      <c r="P14" s="1"/>
      <c r="Q14" s="1"/>
      <c r="R14" s="1"/>
      <c r="S14" s="1"/>
    </row>
    <row r="15" spans="1:21" x14ac:dyDescent="0.25">
      <c r="B15" s="3">
        <v>0.08</v>
      </c>
      <c r="C15" s="15" t="s">
        <v>85</v>
      </c>
      <c r="D15" s="33" t="str">
        <f>IF(VLOOKUP($C15,Mensual!$D$6:$G$135,2,0)&lt;0,0,VLOOKUP($C15,Mensual!$D$6:$G$135,2,0))</f>
        <v>generadores</v>
      </c>
      <c r="E15" s="55">
        <f>IF(VLOOKUP($C15,Mensual!$D$6:$G$163,3,0)&lt;0,0,VLOOKUP($C15,Mensual!$D$6:$G$163,3,0))</f>
        <v>1</v>
      </c>
      <c r="F15" s="55">
        <f>IF(VLOOKUP($C15,Mensual!$D$6:$G$163,4,0)&lt;0,0,VLOOKUP($C15,Mensual!$D$6:$G$163,4,0))</f>
        <v>44</v>
      </c>
      <c r="G15" s="4">
        <f>IF(VLOOKUP($C15,Mensual!$D$6:$H$163,5,0)&lt;0,0,VLOOKUP($C15,Mensual!$D$6:$H$163,5,0))</f>
        <v>0</v>
      </c>
      <c r="H15" s="4">
        <f t="shared" si="0"/>
        <v>0</v>
      </c>
      <c r="I15" s="36"/>
      <c r="J15" s="36"/>
      <c r="K15" s="36"/>
      <c r="L15" s="36"/>
      <c r="M15" s="1"/>
      <c r="N15" s="1"/>
      <c r="O15" s="1"/>
      <c r="P15" s="1"/>
      <c r="Q15" s="1"/>
      <c r="R15" s="1"/>
      <c r="S15" s="1"/>
    </row>
    <row r="16" spans="1:21" x14ac:dyDescent="0.25">
      <c r="B16" s="3">
        <v>0.11</v>
      </c>
      <c r="C16" s="15" t="s">
        <v>70</v>
      </c>
      <c r="D16" s="33" t="str">
        <f>IF(VLOOKUP($C16,Mensual!$D$6:$G$135,2,0)&lt;0,0,VLOOKUP($C16,Mensual!$D$6:$G$135,2,0))</f>
        <v>$/km</v>
      </c>
      <c r="E16" s="4">
        <f>IF(VLOOKUP($C16,Mensual!$D$6:$G$163,3,0)&lt;0,0,VLOOKUP($C16,Mensual!$D$6:$G$163,3,0))</f>
        <v>0.05</v>
      </c>
      <c r="F16" s="4">
        <f>IF(VLOOKUP($C16,Mensual!$D$6:$G$163,4,0)&lt;0,0,VLOOKUP($C16,Mensual!$D$6:$G$163,4,0))</f>
        <v>0.09</v>
      </c>
      <c r="G16" s="4">
        <f>IF(VLOOKUP($C16,Mensual!$D$6:$H$163,5,0)&lt;0,0,VLOOKUP($C16,Mensual!$D$6:$H$163,5,0))</f>
        <v>0</v>
      </c>
      <c r="H16" s="4">
        <f t="shared" si="0"/>
        <v>0</v>
      </c>
      <c r="I16" s="36"/>
      <c r="J16" s="36"/>
      <c r="K16" s="36"/>
      <c r="L16" s="36"/>
      <c r="M16" s="1"/>
      <c r="N16" s="1"/>
      <c r="O16" s="1"/>
      <c r="P16" s="1"/>
      <c r="Q16" s="1"/>
      <c r="R16" s="1"/>
      <c r="S16" s="1"/>
    </row>
    <row r="17" spans="2:19" x14ac:dyDescent="0.25">
      <c r="B17" s="1">
        <f>SUM(B6:B16)</f>
        <v>0.99999999999999989</v>
      </c>
      <c r="C17" s="2"/>
      <c r="D17" s="1"/>
      <c r="E17" s="1"/>
      <c r="F17" s="1"/>
      <c r="G17" s="1"/>
      <c r="H17" s="35">
        <f>SUM(H6:H16)</f>
        <v>0.68300000000000005</v>
      </c>
      <c r="I17" s="1">
        <f>+B17-B19</f>
        <v>0.79999999999999982</v>
      </c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2:19" x14ac:dyDescent="0.25">
      <c r="C18" s="2"/>
      <c r="F18" t="s">
        <v>99</v>
      </c>
      <c r="H18" s="142">
        <f>+H17/I17</f>
        <v>0.85375000000000023</v>
      </c>
    </row>
    <row r="19" spans="2:19" x14ac:dyDescent="0.25">
      <c r="B19" s="1">
        <f>+B8+B11</f>
        <v>0.2</v>
      </c>
    </row>
  </sheetData>
  <mergeCells count="2">
    <mergeCell ref="D2:F2"/>
    <mergeCell ref="D3:F3"/>
  </mergeCells>
  <dataValidations count="1">
    <dataValidation type="list" allowBlank="1" showInputMessage="1" showErrorMessage="1" sqref="D2:F2" xr:uid="{00000000-0002-0000-1200-000000000000}">
      <formula1>INDIRECT(D3)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200-000001000000}">
          <x14:formula1>
            <xm:f>Acumulado!$C$3:$C$131</xm:f>
          </x14:formula1>
          <xm:sqref>C7:C16</xm:sqref>
        </x14:dataValidation>
        <x14:dataValidation type="list" allowBlank="1" showInputMessage="1" showErrorMessage="1" xr:uid="{00000000-0002-0000-1200-000002000000}">
          <x14:formula1>
            <xm:f>Acumulado!$C$3:$C$661</xm:f>
          </x14:formula1>
          <xm:sqref>C6</xm:sqref>
        </x14:dataValidation>
        <x14:dataValidation type="list" allowBlank="1" showInputMessage="1" showErrorMessage="1" xr:uid="{00000000-0002-0000-1200-000003000000}">
          <x14:formula1>
            <xm:f>Listados!$A$1:$L$1</xm:f>
          </x14:formula1>
          <xm:sqref>D3:F3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/>
  </sheetPr>
  <dimension ref="A1:U14"/>
  <sheetViews>
    <sheetView showGridLines="0" zoomScaleNormal="100" workbookViewId="0">
      <selection activeCell="E7" sqref="E7"/>
    </sheetView>
  </sheetViews>
  <sheetFormatPr baseColWidth="10" defaultColWidth="11.42578125" defaultRowHeight="15" x14ac:dyDescent="0.25"/>
  <cols>
    <col min="3" max="3" width="65.85546875" bestFit="1" customWidth="1"/>
    <col min="4" max="4" width="19.5703125" customWidth="1"/>
    <col min="5" max="5" width="13.85546875" bestFit="1" customWidth="1"/>
    <col min="6" max="6" width="12.85546875" bestFit="1" customWidth="1"/>
    <col min="7" max="7" width="11.42578125" customWidth="1"/>
    <col min="8" max="8" width="19.140625" customWidth="1"/>
    <col min="9" max="9" width="13.7109375" bestFit="1" customWidth="1"/>
  </cols>
  <sheetData>
    <row r="1" spans="1:21" x14ac:dyDescent="0.25">
      <c r="I1" s="38">
        <v>0.9</v>
      </c>
      <c r="J1" s="41"/>
    </row>
    <row r="2" spans="1:21" x14ac:dyDescent="0.25">
      <c r="C2" s="14" t="s">
        <v>0</v>
      </c>
      <c r="D2" s="243" t="s">
        <v>100</v>
      </c>
      <c r="E2" s="243"/>
      <c r="F2" s="243"/>
      <c r="I2" s="39" t="s">
        <v>1</v>
      </c>
      <c r="J2" s="42"/>
    </row>
    <row r="3" spans="1:21" x14ac:dyDescent="0.25">
      <c r="C3" s="7" t="s">
        <v>2</v>
      </c>
      <c r="D3" s="244" t="s">
        <v>101</v>
      </c>
      <c r="E3" s="244"/>
      <c r="F3" s="244"/>
      <c r="I3" s="39" t="s">
        <v>4</v>
      </c>
      <c r="J3" s="40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x14ac:dyDescent="0.25">
      <c r="A6">
        <f>+Mensual!B6</f>
        <v>4</v>
      </c>
      <c r="B6" s="3">
        <v>0.1</v>
      </c>
      <c r="C6" s="15" t="s">
        <v>7</v>
      </c>
      <c r="D6" s="33" t="str">
        <f>IF(VLOOKUP($C6,Mensual!$D$6:$G$163,2,0)&lt;0,0,VLOOKUP($C6,Mensual!$D$6:$G$163,2,0))</f>
        <v>RESULTADO SCORECARD</v>
      </c>
      <c r="E6" s="4">
        <f>IF(VLOOKUP($C6,Mensual!$D$6:$G$163,3,0)&lt;0,0,VLOOKUP($C6,Mensual!$D$6:$G$163,3,0))</f>
        <v>1</v>
      </c>
      <c r="F6" s="4">
        <f>IF(VLOOKUP($C6,Mensual!$D$6:$G$163,4,0)&lt;0,0,VLOOKUP($C6,Mensual!$D$6:$G$163,4,0))</f>
        <v>1.0325000000000002</v>
      </c>
      <c r="G6" s="4">
        <f>IF(VLOOKUP($C6,Mensual!$D$6:$H$163,5,0)&lt;0,0,VLOOKUP($C6,Mensual!$D$6:$H$163,5,0))</f>
        <v>1.0325000000000002</v>
      </c>
      <c r="H6" s="4">
        <f>+G6*B6</f>
        <v>0.10325000000000002</v>
      </c>
      <c r="I6" s="31">
        <f>+Mensual!J6</f>
        <v>0</v>
      </c>
      <c r="J6" s="31">
        <f>+Mensual!K6</f>
        <v>0</v>
      </c>
      <c r="K6" s="31">
        <f>+Mensual!L6</f>
        <v>0</v>
      </c>
      <c r="L6" s="31">
        <f>+Mensual!M6</f>
        <v>0</v>
      </c>
      <c r="M6" s="3"/>
      <c r="N6" s="3"/>
      <c r="O6" s="3"/>
      <c r="P6" s="3"/>
      <c r="Q6" s="3"/>
      <c r="R6" s="3"/>
      <c r="S6" s="3"/>
    </row>
    <row r="7" spans="1:21" x14ac:dyDescent="0.25">
      <c r="B7" s="3">
        <v>0.3</v>
      </c>
      <c r="C7" s="15" t="s">
        <v>102</v>
      </c>
      <c r="D7" s="33" t="str">
        <f>IF(VLOOKUP($C7,Mensual!$D$6:$G$135,2,0)&lt;0,0,VLOOKUP($C7,Mensual!$D$6:$G$135,2,0))</f>
        <v>Galones</v>
      </c>
      <c r="E7" s="33">
        <f>IF(VLOOKUP($C7,Mensual!$D$6:$G$163,3,0)&lt;0,0,VLOOKUP($C7,Mensual!$D$6:$G$163,3,0))</f>
        <v>100000</v>
      </c>
      <c r="F7" s="33">
        <f>IF(VLOOKUP($C7,Mensual!$D$6:$G$163,4,0)&lt;0,0,VLOOKUP($C7,Mensual!$D$6:$G$163,4,0))</f>
        <v>112588</v>
      </c>
      <c r="G7" s="4">
        <f>IF(VLOOKUP($C7,Mensual!$D$6:$H$163,5,0)&lt;0,0,VLOOKUP($C7,Mensual!$D$6:$H$163,5,0))</f>
        <v>1</v>
      </c>
      <c r="H7" s="4">
        <f t="shared" ref="H7:H12" si="0">+G7*B7</f>
        <v>0.3</v>
      </c>
      <c r="I7" s="36"/>
      <c r="J7" s="36"/>
      <c r="K7" s="36"/>
      <c r="L7" s="36"/>
      <c r="M7" s="1"/>
      <c r="N7" s="1"/>
      <c r="O7" s="1"/>
      <c r="P7" s="1"/>
      <c r="Q7" s="1"/>
      <c r="R7" s="1"/>
      <c r="S7" s="1"/>
    </row>
    <row r="8" spans="1:21" x14ac:dyDescent="0.25">
      <c r="B8" s="3">
        <v>0.2</v>
      </c>
      <c r="C8" s="15" t="s">
        <v>103</v>
      </c>
      <c r="D8" s="33" t="str">
        <f>IF(VLOOKUP($C8,Mensual!$D$6:$G$135,2,0)&lt;0,0,VLOOKUP($C8,Mensual!$D$6:$G$135,2,0))</f>
        <v>Dólares</v>
      </c>
      <c r="E8" s="33">
        <f>IF(VLOOKUP($C8,Mensual!$D$6:$G$163,3,0)&lt;0,0,VLOOKUP($C8,Mensual!$D$6:$G$163,3,0))</f>
        <v>25000</v>
      </c>
      <c r="F8" s="33">
        <f>IF(VLOOKUP($C8,Mensual!$D$6:$G$163,4,0)&lt;0,0,VLOOKUP($C8,Mensual!$D$6:$G$163,4,0))</f>
        <v>20092.400000000001</v>
      </c>
      <c r="G8" s="4">
        <f>IF(VLOOKUP($C8,Mensual!$D$6:$H$163,5,0)&lt;0,0,VLOOKUP($C8,Mensual!$D$6:$H$163,5,0))</f>
        <v>0.80369600000000008</v>
      </c>
      <c r="H8" s="4">
        <f t="shared" si="0"/>
        <v>0.16073920000000003</v>
      </c>
      <c r="I8" s="36"/>
      <c r="J8" s="36"/>
      <c r="K8" s="36"/>
      <c r="L8" s="36"/>
      <c r="M8" s="1"/>
      <c r="N8" s="1"/>
      <c r="O8" s="1"/>
      <c r="P8" s="1"/>
      <c r="Q8" s="1"/>
      <c r="R8" s="1"/>
      <c r="S8" s="1"/>
    </row>
    <row r="9" spans="1:21" x14ac:dyDescent="0.25">
      <c r="B9" s="3">
        <v>0.05</v>
      </c>
      <c r="C9" s="15" t="s">
        <v>20</v>
      </c>
      <c r="D9" s="33">
        <f>IF(VLOOKUP($C9,Mensual!$D$6:$G$135,2,0)&lt;0,0,VLOOKUP($C9,Mensual!$D$6:$G$135,2,0))</f>
        <v>0</v>
      </c>
      <c r="E9" s="4">
        <f>IF(VLOOKUP($C9,Mensual!$D$6:$G$163,3,0)&lt;0,0,VLOOKUP($C9,Mensual!$D$6:$G$163,3,0))</f>
        <v>0</v>
      </c>
      <c r="F9" s="4">
        <f>IF(VLOOKUP($C9,Mensual!$D$6:$G$163,4,0)&lt;0,0,VLOOKUP($C9,Mensual!$D$6:$G$163,4,0))</f>
        <v>0</v>
      </c>
      <c r="G9" s="4">
        <f>IF(VLOOKUP($C9,Mensual!$D$6:$H$163,5,0)&lt;0,0,VLOOKUP($C9,Mensual!$D$6:$H$163,5,0))</f>
        <v>1</v>
      </c>
      <c r="H9" s="4">
        <f t="shared" si="0"/>
        <v>0.05</v>
      </c>
      <c r="I9" s="36"/>
      <c r="J9" s="36"/>
      <c r="K9" s="36"/>
      <c r="L9" s="36"/>
      <c r="M9" s="1"/>
      <c r="N9" s="1"/>
      <c r="O9" s="1"/>
      <c r="P9" s="1"/>
      <c r="Q9" s="1"/>
      <c r="R9" s="1"/>
      <c r="S9" s="1"/>
    </row>
    <row r="10" spans="1:21" x14ac:dyDescent="0.25">
      <c r="B10" s="3">
        <v>0.12</v>
      </c>
      <c r="C10" s="15" t="s">
        <v>104</v>
      </c>
      <c r="D10" s="33" t="str">
        <f>IF(VLOOKUP($C10,Mensual!$D$6:$G$135,2,0)&lt;0,0,VLOOKUP($C10,Mensual!$D$6:$G$135,2,0))</f>
        <v>dolares</v>
      </c>
      <c r="E10" s="4">
        <f>IF(VLOOKUP($C10,Mensual!$D$6:$G$163,3,0)&lt;0,0,VLOOKUP($C10,Mensual!$D$6:$G$163,3,0))</f>
        <v>0.03</v>
      </c>
      <c r="F10" s="4">
        <f>IF(VLOOKUP($C10,Mensual!$D$6:$G$163,4,0)&lt;0,0,VLOOKUP($C10,Mensual!$D$6:$G$163,4,0))</f>
        <v>7.0000000000000007E-2</v>
      </c>
      <c r="G10" s="4">
        <f>IF(VLOOKUP($C10,Mensual!$D$6:$H$163,5,0)&lt;0,0,VLOOKUP($C10,Mensual!$D$6:$H$163,5,0))</f>
        <v>0</v>
      </c>
      <c r="H10" s="4">
        <f t="shared" si="0"/>
        <v>0</v>
      </c>
      <c r="I10" s="36"/>
      <c r="J10" s="36"/>
      <c r="K10" s="36"/>
      <c r="L10" s="36"/>
      <c r="M10" s="1"/>
      <c r="N10" s="1"/>
      <c r="O10" s="1"/>
      <c r="P10" s="1"/>
      <c r="Q10" s="1"/>
      <c r="R10" s="1"/>
      <c r="S10" s="1"/>
    </row>
    <row r="11" spans="1:21" x14ac:dyDescent="0.25">
      <c r="B11" s="3">
        <v>0.12</v>
      </c>
      <c r="C11" s="15" t="s">
        <v>105</v>
      </c>
      <c r="D11" s="33" t="str">
        <f>IF(VLOOKUP($C11,Mensual!$D$6:$G$135,2,0)&lt;0,0,VLOOKUP($C11,Mensual!$D$6:$G$135,2,0))</f>
        <v>dolares</v>
      </c>
      <c r="E11" s="4">
        <f>IF(VLOOKUP($C11,Mensual!$D$6:$G$163,3,0)&lt;0,0,VLOOKUP($C11,Mensual!$D$6:$G$163,3,0))</f>
        <v>0.1</v>
      </c>
      <c r="F11" s="4">
        <f>IF(VLOOKUP($C11,Mensual!$D$6:$G$163,4,0)&lt;0,0,VLOOKUP($C11,Mensual!$D$6:$G$163,4,0))</f>
        <v>0.06</v>
      </c>
      <c r="G11" s="4">
        <f>IF(VLOOKUP($C11,Mensual!$D$6:$H$163,5,0)&lt;0,0,VLOOKUP($C11,Mensual!$D$6:$H$163,5,0))</f>
        <v>0</v>
      </c>
      <c r="H11" s="4">
        <f t="shared" si="0"/>
        <v>0</v>
      </c>
      <c r="I11" s="36"/>
      <c r="J11" s="36"/>
      <c r="K11" s="36"/>
      <c r="L11" s="36"/>
      <c r="M11" s="1"/>
      <c r="N11" s="1"/>
      <c r="O11" s="1"/>
      <c r="P11" s="1"/>
      <c r="Q11" s="1"/>
      <c r="R11" s="1"/>
      <c r="S11" s="1"/>
    </row>
    <row r="12" spans="1:21" x14ac:dyDescent="0.25">
      <c r="B12" s="3">
        <v>0.11</v>
      </c>
      <c r="C12" s="15" t="s">
        <v>106</v>
      </c>
      <c r="D12" s="33">
        <f>IF(VLOOKUP($C12,Mensual!$D$6:$G$135,2,0)&lt;0,0,VLOOKUP($C12,Mensual!$D$6:$G$135,2,0))</f>
        <v>0</v>
      </c>
      <c r="E12" s="4">
        <f>IF(VLOOKUP($C12,Mensual!$D$6:$G$163,3,0)&lt;0,0,VLOOKUP($C12,Mensual!$D$6:$G$163,3,0))</f>
        <v>0.1</v>
      </c>
      <c r="F12" s="4">
        <f>IF(VLOOKUP($C12,Mensual!$D$6:$G$163,4,0)&lt;0,0,VLOOKUP($C12,Mensual!$D$6:$G$163,4,0))</f>
        <v>0</v>
      </c>
      <c r="G12" s="4">
        <f>IF(VLOOKUP($C12,Mensual!$D$6:$H$163,5,0)&lt;0,0,VLOOKUP($C12,Mensual!$D$6:$H$163,5,0))</f>
        <v>0</v>
      </c>
      <c r="H12" s="4">
        <f t="shared" si="0"/>
        <v>0</v>
      </c>
      <c r="I12" s="36"/>
      <c r="J12" s="36"/>
      <c r="K12" s="36"/>
      <c r="L12" s="36"/>
      <c r="M12" s="1"/>
      <c r="N12" s="1"/>
      <c r="O12" s="1"/>
      <c r="P12" s="1"/>
      <c r="Q12" s="1"/>
      <c r="R12" s="1"/>
      <c r="S12" s="1"/>
    </row>
    <row r="13" spans="1:21" x14ac:dyDescent="0.25">
      <c r="B13" s="1">
        <f>SUM(B6:B12)</f>
        <v>1.0000000000000002</v>
      </c>
      <c r="C13" s="2"/>
      <c r="D13" s="1"/>
      <c r="E13" s="1"/>
      <c r="F13" s="1"/>
      <c r="G13" s="1"/>
      <c r="H13" s="35">
        <f>SUM(H6:H12)</f>
        <v>0.61398920000000001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21" x14ac:dyDescent="0.25">
      <c r="C14" s="2"/>
    </row>
  </sheetData>
  <mergeCells count="2">
    <mergeCell ref="D2:F2"/>
    <mergeCell ref="D3:F3"/>
  </mergeCells>
  <dataValidations count="1">
    <dataValidation type="list" allowBlank="1" showInputMessage="1" showErrorMessage="1" sqref="D2:F2" xr:uid="{00000000-0002-0000-1400-000000000000}">
      <formula1>INDIRECT(D3)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400-000001000000}">
          <x14:formula1>
            <xm:f>Acumulado!$C$3:$C$131</xm:f>
          </x14:formula1>
          <xm:sqref>C7:C12</xm:sqref>
        </x14:dataValidation>
        <x14:dataValidation type="list" allowBlank="1" showInputMessage="1" showErrorMessage="1" xr:uid="{00000000-0002-0000-1400-000002000000}">
          <x14:formula1>
            <xm:f>Acumulado!$C$3:$C$661</xm:f>
          </x14:formula1>
          <xm:sqref>C6</xm:sqref>
        </x14:dataValidation>
        <x14:dataValidation type="list" allowBlank="1" showInputMessage="1" showErrorMessage="1" xr:uid="{00000000-0002-0000-1400-000003000000}">
          <x14:formula1>
            <xm:f>Listados!$A$1:$L$1</xm:f>
          </x14:formula1>
          <xm:sqref>D3:F3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/>
  </sheetPr>
  <dimension ref="A1:U14"/>
  <sheetViews>
    <sheetView showGridLines="0" zoomScaleNormal="100" workbookViewId="0">
      <selection activeCell="C7" sqref="C7"/>
    </sheetView>
  </sheetViews>
  <sheetFormatPr baseColWidth="10" defaultColWidth="11.42578125" defaultRowHeight="15" x14ac:dyDescent="0.25"/>
  <cols>
    <col min="3" max="3" width="65.85546875" bestFit="1" customWidth="1"/>
    <col min="4" max="4" width="19.5703125" customWidth="1"/>
    <col min="5" max="5" width="13.85546875" bestFit="1" customWidth="1"/>
    <col min="6" max="6" width="12.85546875" bestFit="1" customWidth="1"/>
    <col min="7" max="7" width="11.42578125" customWidth="1"/>
    <col min="8" max="8" width="19.140625" customWidth="1"/>
    <col min="9" max="9" width="13.7109375" bestFit="1" customWidth="1"/>
  </cols>
  <sheetData>
    <row r="1" spans="1:21" x14ac:dyDescent="0.25">
      <c r="I1" s="38">
        <v>0.9</v>
      </c>
      <c r="J1" s="41"/>
    </row>
    <row r="2" spans="1:21" x14ac:dyDescent="0.25">
      <c r="C2" s="14" t="s">
        <v>0</v>
      </c>
      <c r="D2" s="243" t="s">
        <v>100</v>
      </c>
      <c r="E2" s="243"/>
      <c r="F2" s="243"/>
      <c r="I2" s="39" t="s">
        <v>1</v>
      </c>
      <c r="J2" s="42"/>
    </row>
    <row r="3" spans="1:21" x14ac:dyDescent="0.25">
      <c r="C3" s="7" t="s">
        <v>2</v>
      </c>
      <c r="D3" s="244" t="s">
        <v>101</v>
      </c>
      <c r="E3" s="244"/>
      <c r="F3" s="244"/>
      <c r="I3" s="39" t="s">
        <v>4</v>
      </c>
      <c r="J3" s="40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x14ac:dyDescent="0.25">
      <c r="A6">
        <f>+Mensual!B6</f>
        <v>4</v>
      </c>
      <c r="B6" s="3">
        <v>0.2</v>
      </c>
      <c r="C6" s="15" t="s">
        <v>7</v>
      </c>
      <c r="D6" s="33" t="str">
        <f>IF(VLOOKUP($C6,Mensual!$D$6:$G$163,2,0)&lt;0,0,VLOOKUP($C6,Mensual!$D$6:$G$163,2,0))</f>
        <v>RESULTADO SCORECARD</v>
      </c>
      <c r="E6" s="4">
        <f>IF(VLOOKUP($C6,Mensual!$D$6:$G$163,3,0)&lt;0,0,VLOOKUP($C6,Mensual!$D$6:$G$163,3,0))</f>
        <v>1</v>
      </c>
      <c r="F6" s="4">
        <f>IF(VLOOKUP($C6,Mensual!$D$6:$G$163,4,0)&lt;0,0,VLOOKUP($C6,Mensual!$D$6:$G$163,4,0))</f>
        <v>1.0325000000000002</v>
      </c>
      <c r="G6" s="4">
        <f>IF(VLOOKUP($C6,Mensual!$D$6:$H$163,5,0)&lt;0,0,VLOOKUP($C6,Mensual!$D$6:$H$163,5,0))</f>
        <v>1.0325000000000002</v>
      </c>
      <c r="H6" s="4">
        <f>+G6*B6</f>
        <v>0.20650000000000004</v>
      </c>
      <c r="I6" s="31">
        <f>+Mensual!J6</f>
        <v>0</v>
      </c>
      <c r="J6" s="31">
        <f>+Mensual!K6</f>
        <v>0</v>
      </c>
      <c r="K6" s="31">
        <f>+Mensual!L6</f>
        <v>0</v>
      </c>
      <c r="L6" s="31">
        <f>+Mensual!M6</f>
        <v>0</v>
      </c>
      <c r="M6" s="3"/>
      <c r="N6" s="3"/>
      <c r="O6" s="3"/>
      <c r="P6" s="3"/>
      <c r="Q6" s="3"/>
      <c r="R6" s="3"/>
      <c r="S6" s="3"/>
    </row>
    <row r="7" spans="1:21" x14ac:dyDescent="0.25">
      <c r="B7" s="3">
        <v>0.25</v>
      </c>
      <c r="C7" s="15" t="s">
        <v>102</v>
      </c>
      <c r="D7" s="33" t="str">
        <f>IF(VLOOKUP($C7,Mensual!$D$6:$G$135,2,0)&lt;0,0,VLOOKUP($C7,Mensual!$D$6:$G$135,2,0))</f>
        <v>Galones</v>
      </c>
      <c r="E7" s="33">
        <f>IF(VLOOKUP($C7,Mensual!$D$6:$G$163,3,0)&lt;0,0,VLOOKUP($C7,Mensual!$D$6:$G$163,3,0))</f>
        <v>100000</v>
      </c>
      <c r="F7" s="33">
        <f>IF(VLOOKUP($C7,Mensual!$D$6:$G$163,4,0)&lt;0,0,VLOOKUP($C7,Mensual!$D$6:$G$163,4,0))</f>
        <v>112588</v>
      </c>
      <c r="G7" s="4">
        <f>IF(VLOOKUP($C7,Mensual!$D$6:$H$163,5,0)&lt;0,0,VLOOKUP($C7,Mensual!$D$6:$H$163,5,0))</f>
        <v>1</v>
      </c>
      <c r="H7" s="4">
        <f t="shared" ref="H7:H12" si="0">+G7*B7</f>
        <v>0.25</v>
      </c>
      <c r="I7" s="36"/>
      <c r="J7" s="36"/>
      <c r="K7" s="36"/>
      <c r="L7" s="36"/>
      <c r="M7" s="1"/>
      <c r="N7" s="1"/>
      <c r="O7" s="1"/>
      <c r="P7" s="1"/>
      <c r="Q7" s="1"/>
      <c r="R7" s="1"/>
      <c r="S7" s="1"/>
    </row>
    <row r="8" spans="1:21" x14ac:dyDescent="0.25">
      <c r="B8" s="3">
        <v>0.15</v>
      </c>
      <c r="C8" s="15" t="s">
        <v>103</v>
      </c>
      <c r="D8" s="33" t="str">
        <f>IF(VLOOKUP($C8,Mensual!$D$6:$G$135,2,0)&lt;0,0,VLOOKUP($C8,Mensual!$D$6:$G$135,2,0))</f>
        <v>Dólares</v>
      </c>
      <c r="E8" s="4">
        <f>IF(VLOOKUP($C8,Mensual!$D$6:$G$163,3,0)&lt;0,0,VLOOKUP($C8,Mensual!$D$6:$G$163,3,0))</f>
        <v>25000</v>
      </c>
      <c r="F8" s="4">
        <f>IF(VLOOKUP($C8,Mensual!$D$6:$G$163,4,0)&lt;0,0,VLOOKUP($C8,Mensual!$D$6:$G$163,4,0))</f>
        <v>20092.400000000001</v>
      </c>
      <c r="G8" s="4">
        <f>IF(VLOOKUP($C8,Mensual!$D$6:$H$163,5,0)&lt;0,0,VLOOKUP($C8,Mensual!$D$6:$H$163,5,0))</f>
        <v>0.80369600000000008</v>
      </c>
      <c r="H8" s="4">
        <f t="shared" si="0"/>
        <v>0.12055440000000001</v>
      </c>
      <c r="I8" s="36"/>
      <c r="J8" s="36"/>
      <c r="K8" s="36"/>
      <c r="L8" s="36"/>
      <c r="M8" s="1"/>
      <c r="N8" s="1"/>
      <c r="O8" s="1"/>
      <c r="P8" s="1"/>
      <c r="Q8" s="1"/>
      <c r="R8" s="1"/>
      <c r="S8" s="1"/>
    </row>
    <row r="9" spans="1:21" x14ac:dyDescent="0.25">
      <c r="B9" s="3">
        <v>0.1</v>
      </c>
      <c r="C9" s="15" t="s">
        <v>20</v>
      </c>
      <c r="D9" s="33">
        <f>IF(VLOOKUP($C9,Mensual!$D$6:$G$135,2,0)&lt;0,0,VLOOKUP($C9,Mensual!$D$6:$G$135,2,0))</f>
        <v>0</v>
      </c>
      <c r="E9" s="4">
        <f>IF(VLOOKUP($C9,Mensual!$D$6:$G$163,3,0)&lt;0,0,VLOOKUP($C9,Mensual!$D$6:$G$163,3,0))</f>
        <v>0</v>
      </c>
      <c r="F9" s="4">
        <f>IF(VLOOKUP($C9,Mensual!$D$6:$G$163,4,0)&lt;0,0,VLOOKUP($C9,Mensual!$D$6:$G$163,4,0))</f>
        <v>0</v>
      </c>
      <c r="G9" s="4">
        <f>IF(VLOOKUP($C9,Mensual!$D$6:$H$163,5,0)&lt;0,0,VLOOKUP($C9,Mensual!$D$6:$H$163,5,0))</f>
        <v>1</v>
      </c>
      <c r="H9" s="4">
        <f t="shared" si="0"/>
        <v>0.1</v>
      </c>
      <c r="I9" s="36"/>
      <c r="J9" s="36"/>
      <c r="K9" s="36"/>
      <c r="L9" s="36"/>
      <c r="M9" s="1"/>
      <c r="N9" s="1"/>
      <c r="O9" s="1"/>
      <c r="P9" s="1"/>
      <c r="Q9" s="1"/>
      <c r="R9" s="1"/>
      <c r="S9" s="1"/>
    </row>
    <row r="10" spans="1:21" x14ac:dyDescent="0.25">
      <c r="B10" s="3">
        <v>0.1</v>
      </c>
      <c r="C10" s="15" t="s">
        <v>104</v>
      </c>
      <c r="D10" s="33" t="str">
        <f>IF(VLOOKUP($C10,Mensual!$D$6:$G$135,2,0)&lt;0,0,VLOOKUP($C10,Mensual!$D$6:$G$135,2,0))</f>
        <v>dolares</v>
      </c>
      <c r="E10" s="4">
        <f>IF(VLOOKUP($C10,Mensual!$D$6:$G$163,3,0)&lt;0,0,VLOOKUP($C10,Mensual!$D$6:$G$163,3,0))</f>
        <v>0.03</v>
      </c>
      <c r="F10" s="4">
        <f>IF(VLOOKUP($C10,Mensual!$D$6:$G$163,4,0)&lt;0,0,VLOOKUP($C10,Mensual!$D$6:$G$163,4,0))</f>
        <v>7.0000000000000007E-2</v>
      </c>
      <c r="G10" s="4">
        <f>IF(VLOOKUP($C10,Mensual!$D$6:$H$163,5,0)&lt;0,0,VLOOKUP($C10,Mensual!$D$6:$H$163,5,0))</f>
        <v>0</v>
      </c>
      <c r="H10" s="4">
        <f t="shared" ref="H10:H11" si="1">+G10*B10</f>
        <v>0</v>
      </c>
      <c r="I10" s="36"/>
      <c r="J10" s="36"/>
      <c r="K10" s="36"/>
      <c r="L10" s="36"/>
      <c r="M10" s="1"/>
      <c r="N10" s="1"/>
      <c r="O10" s="1"/>
      <c r="P10" s="1"/>
      <c r="Q10" s="1"/>
      <c r="R10" s="1"/>
      <c r="S10" s="1"/>
    </row>
    <row r="11" spans="1:21" x14ac:dyDescent="0.25">
      <c r="B11" s="3">
        <v>0.1</v>
      </c>
      <c r="C11" s="15" t="s">
        <v>105</v>
      </c>
      <c r="D11" s="33" t="str">
        <f>IF(VLOOKUP($C11,Mensual!$D$6:$G$135,2,0)&lt;0,0,VLOOKUP($C11,Mensual!$D$6:$G$135,2,0))</f>
        <v>dolares</v>
      </c>
      <c r="E11" s="4">
        <f>IF(VLOOKUP($C11,Mensual!$D$6:$G$163,3,0)&lt;0,0,VLOOKUP($C11,Mensual!$D$6:$G$163,3,0))</f>
        <v>0.1</v>
      </c>
      <c r="F11" s="4">
        <f>IF(VLOOKUP($C11,Mensual!$D$6:$G$163,4,0)&lt;0,0,VLOOKUP($C11,Mensual!$D$6:$G$163,4,0))</f>
        <v>0.06</v>
      </c>
      <c r="G11" s="4">
        <f>IF(VLOOKUP($C11,Mensual!$D$6:$H$163,5,0)&lt;0,0,VLOOKUP($C11,Mensual!$D$6:$H$163,5,0))</f>
        <v>0</v>
      </c>
      <c r="H11" s="4">
        <f t="shared" si="1"/>
        <v>0</v>
      </c>
      <c r="I11" s="36"/>
      <c r="J11" s="36"/>
      <c r="K11" s="36"/>
      <c r="L11" s="36"/>
      <c r="M11" s="1"/>
      <c r="N11" s="1"/>
      <c r="O11" s="1"/>
      <c r="P11" s="1"/>
      <c r="Q11" s="1"/>
      <c r="R11" s="1"/>
      <c r="S11" s="1"/>
    </row>
    <row r="12" spans="1:21" x14ac:dyDescent="0.25">
      <c r="B12" s="3">
        <v>0.1</v>
      </c>
      <c r="C12" s="15" t="s">
        <v>106</v>
      </c>
      <c r="D12" s="33">
        <f>IF(VLOOKUP($C12,Mensual!$D$6:$G$135,2,0)&lt;0,0,VLOOKUP($C12,Mensual!$D$6:$G$135,2,0))</f>
        <v>0</v>
      </c>
      <c r="E12" s="4">
        <f>IF(VLOOKUP($C12,Mensual!$D$6:$G$163,3,0)&lt;0,0,VLOOKUP($C12,Mensual!$D$6:$G$163,3,0))</f>
        <v>0.1</v>
      </c>
      <c r="F12" s="4">
        <f>IF(VLOOKUP($C12,Mensual!$D$6:$G$163,4,0)&lt;0,0,VLOOKUP($C12,Mensual!$D$6:$G$163,4,0))</f>
        <v>0</v>
      </c>
      <c r="G12" s="4">
        <f>IF(VLOOKUP($C12,Mensual!$D$6:$H$163,5,0)&lt;0,0,VLOOKUP($C12,Mensual!$D$6:$H$163,5,0))</f>
        <v>0</v>
      </c>
      <c r="H12" s="4">
        <f t="shared" si="0"/>
        <v>0</v>
      </c>
      <c r="I12" s="36"/>
      <c r="J12" s="36"/>
      <c r="K12" s="36"/>
      <c r="L12" s="36"/>
      <c r="M12" s="1"/>
      <c r="N12" s="1"/>
      <c r="O12" s="1"/>
      <c r="P12" s="1"/>
      <c r="Q12" s="1"/>
      <c r="R12" s="1"/>
      <c r="S12" s="1"/>
    </row>
    <row r="13" spans="1:21" x14ac:dyDescent="0.25">
      <c r="B13" s="1">
        <f>SUM(B6:B12)</f>
        <v>0.99999999999999989</v>
      </c>
      <c r="C13" s="2"/>
      <c r="D13" s="1"/>
      <c r="E13" s="1"/>
      <c r="F13" s="1"/>
      <c r="G13" s="1"/>
      <c r="H13" s="35">
        <f>SUM(H6:H12)</f>
        <v>0.67705439999999995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21" x14ac:dyDescent="0.25">
      <c r="C14" s="2"/>
    </row>
  </sheetData>
  <mergeCells count="2">
    <mergeCell ref="D2:F2"/>
    <mergeCell ref="D3:F3"/>
  </mergeCells>
  <dataValidations count="1">
    <dataValidation type="list" allowBlank="1" showInputMessage="1" showErrorMessage="1" sqref="D2:F2" xr:uid="{00000000-0002-0000-1300-000000000000}">
      <formula1>INDIRECT(D3)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300-000001000000}">
          <x14:formula1>
            <xm:f>Listados!$A$1:$L$1</xm:f>
          </x14:formula1>
          <xm:sqref>D3:F3</xm:sqref>
        </x14:dataValidation>
        <x14:dataValidation type="list" allowBlank="1" showInputMessage="1" showErrorMessage="1" xr:uid="{00000000-0002-0000-1300-000002000000}">
          <x14:formula1>
            <xm:f>Acumulado!$C$3:$C$661</xm:f>
          </x14:formula1>
          <xm:sqref>C6</xm:sqref>
        </x14:dataValidation>
        <x14:dataValidation type="list" allowBlank="1" showInputMessage="1" showErrorMessage="1" xr:uid="{00000000-0002-0000-1300-000003000000}">
          <x14:formula1>
            <xm:f>Acumulado!$C$3:$C$131</xm:f>
          </x14:formula1>
          <xm:sqref>C7:C12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9"/>
  </sheetPr>
  <dimension ref="A1:U25"/>
  <sheetViews>
    <sheetView showGridLines="0" topLeftCell="A9" zoomScale="85" zoomScaleNormal="85" workbookViewId="0">
      <selection activeCell="C19" sqref="C19"/>
    </sheetView>
  </sheetViews>
  <sheetFormatPr baseColWidth="10" defaultColWidth="11.42578125" defaultRowHeight="15" x14ac:dyDescent="0.25"/>
  <cols>
    <col min="3" max="3" width="65.85546875" bestFit="1" customWidth="1"/>
    <col min="4" max="4" width="19.5703125" customWidth="1"/>
    <col min="5" max="5" width="13.85546875" bestFit="1" customWidth="1"/>
    <col min="6" max="6" width="12.85546875" bestFit="1" customWidth="1"/>
    <col min="7" max="7" width="11.42578125" customWidth="1"/>
    <col min="8" max="8" width="19.140625" customWidth="1"/>
    <col min="9" max="9" width="13.7109375" bestFit="1" customWidth="1"/>
  </cols>
  <sheetData>
    <row r="1" spans="1:21" x14ac:dyDescent="0.25">
      <c r="I1" s="38">
        <v>0.9</v>
      </c>
      <c r="J1" s="41"/>
    </row>
    <row r="2" spans="1:21" x14ac:dyDescent="0.25">
      <c r="C2" s="14" t="s">
        <v>0</v>
      </c>
      <c r="D2" s="243" t="s">
        <v>107</v>
      </c>
      <c r="E2" s="243"/>
      <c r="F2" s="243"/>
      <c r="I2" s="39" t="s">
        <v>1</v>
      </c>
      <c r="J2" s="42"/>
    </row>
    <row r="3" spans="1:21" x14ac:dyDescent="0.25">
      <c r="C3" s="7" t="s">
        <v>2</v>
      </c>
      <c r="D3" s="244" t="s">
        <v>108</v>
      </c>
      <c r="E3" s="244"/>
      <c r="F3" s="244"/>
      <c r="I3" s="39" t="s">
        <v>4</v>
      </c>
      <c r="J3" s="40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x14ac:dyDescent="0.25">
      <c r="A6">
        <f>+Mensual!B6</f>
        <v>4</v>
      </c>
      <c r="B6" s="3">
        <v>0.25</v>
      </c>
      <c r="C6" s="15" t="s">
        <v>7</v>
      </c>
      <c r="D6" s="33" t="str">
        <f>IF(VLOOKUP($C6,Mensual!$D$6:$G$163,2,0)&lt;0,0,VLOOKUP($C6,Mensual!$D$6:$G$163,2,0))</f>
        <v>RESULTADO SCORECARD</v>
      </c>
      <c r="E6" s="4">
        <f>IF(VLOOKUP($C6,Mensual!$D$6:$G$163,3,0)&lt;0,0,VLOOKUP($C6,Mensual!$D$6:$G$163,3,0))</f>
        <v>1</v>
      </c>
      <c r="F6" s="4">
        <f>IF(VLOOKUP($C6,Mensual!$D$6:$G$163,4,0)&lt;0,0,VLOOKUP($C6,Mensual!$D$6:$G$163,4,0))</f>
        <v>1.0325000000000002</v>
      </c>
      <c r="G6" s="4">
        <f>IF(VLOOKUP($C6,Mensual!$D$6:$H$163,5,0)&lt;0,0,VLOOKUP($C6,Mensual!$D$6:$H$163,5,0))</f>
        <v>1.0325000000000002</v>
      </c>
      <c r="H6" s="4">
        <f>+G6*B6</f>
        <v>0.25812500000000005</v>
      </c>
      <c r="I6" s="31">
        <f>+Mensual!J6</f>
        <v>0</v>
      </c>
      <c r="J6" s="31">
        <f>+Mensual!K6</f>
        <v>0</v>
      </c>
      <c r="K6" s="31">
        <f>+Mensual!L6</f>
        <v>0</v>
      </c>
      <c r="L6" s="31">
        <f>+Mensual!M6</f>
        <v>0</v>
      </c>
      <c r="M6" s="3"/>
      <c r="N6" s="3"/>
      <c r="O6" s="3"/>
      <c r="P6" s="3"/>
      <c r="Q6" s="3"/>
      <c r="R6" s="3"/>
      <c r="S6" s="3"/>
    </row>
    <row r="7" spans="1:21" x14ac:dyDescent="0.25">
      <c r="B7" s="3">
        <v>0.1</v>
      </c>
      <c r="C7" s="15" t="s">
        <v>109</v>
      </c>
      <c r="D7" s="92">
        <f>IF(VLOOKUP($C7,Mensual!$D$6:$G$135,2,0)&lt;0,0,VLOOKUP($C7,Mensual!$D$6:$G$135,2,0))</f>
        <v>0</v>
      </c>
      <c r="E7" s="104">
        <f>IF(VLOOKUP($C7,Mensual!$D$6:$G$163,3,0)&lt;0,0,VLOOKUP($C7,Mensual!$D$6:$G$163,3,0))</f>
        <v>0.995</v>
      </c>
      <c r="F7" s="93">
        <f>IF(VLOOKUP($C7,Mensual!$D$6:$G$163,4,0)&lt;0,0,VLOOKUP($C7,Mensual!$D$6:$G$163,4,0))</f>
        <v>1</v>
      </c>
      <c r="G7" s="93">
        <f>IF(VLOOKUP($C7,Mensual!$D$6:$H$163,5,0)&lt;0,0,VLOOKUP($C7,Mensual!$D$6:$H$163,5,0))</f>
        <v>1</v>
      </c>
      <c r="H7" s="93">
        <f t="shared" ref="H7:H23" si="0">+G7*B7</f>
        <v>0.1</v>
      </c>
      <c r="I7" s="94"/>
      <c r="J7" s="94"/>
      <c r="K7" s="94"/>
      <c r="L7" s="94"/>
      <c r="M7" s="1"/>
      <c r="N7" s="1"/>
      <c r="O7" s="1"/>
      <c r="P7" s="1"/>
      <c r="Q7" s="1"/>
      <c r="R7" s="1"/>
      <c r="S7" s="1"/>
    </row>
    <row r="8" spans="1:21" x14ac:dyDescent="0.25">
      <c r="B8" s="3">
        <v>0.05</v>
      </c>
      <c r="C8" s="15" t="s">
        <v>110</v>
      </c>
      <c r="D8" s="92" t="str">
        <f>IF(VLOOKUP($C8,Mensual!$D$6:$G$135,2,0)&lt;0,0,VLOOKUP($C8,Mensual!$D$6:$G$135,2,0))</f>
        <v># de viajes</v>
      </c>
      <c r="E8" s="92">
        <f>IF(VLOOKUP($C8,Mensual!$D$6:$G$163,3,0)&lt;0,0,VLOOKUP($C8,Mensual!$D$6:$G$163,3,0))</f>
        <v>0.2</v>
      </c>
      <c r="F8" s="92">
        <f>IF(VLOOKUP($C8,Mensual!$D$6:$G$163,4,0)&lt;0,0,VLOOKUP($C8,Mensual!$D$6:$G$163,4,0))</f>
        <v>0</v>
      </c>
      <c r="G8" s="93">
        <f>IF(VLOOKUP($C8,Mensual!$D$6:$H$163,5,0)&lt;0,0,VLOOKUP($C8,Mensual!$D$6:$H$163,5,0))</f>
        <v>0</v>
      </c>
      <c r="H8" s="93">
        <f t="shared" si="0"/>
        <v>0</v>
      </c>
      <c r="I8" s="94"/>
      <c r="J8" s="94"/>
      <c r="K8" s="94"/>
      <c r="L8" s="94"/>
      <c r="M8" s="1"/>
      <c r="N8" s="1"/>
      <c r="O8" s="1"/>
      <c r="P8" s="1"/>
      <c r="Q8" s="1"/>
      <c r="R8" s="1"/>
      <c r="S8" s="1"/>
    </row>
    <row r="9" spans="1:21" x14ac:dyDescent="0.25">
      <c r="B9" s="3">
        <v>0.1</v>
      </c>
      <c r="C9" s="15" t="s">
        <v>34</v>
      </c>
      <c r="D9" s="92">
        <f>IF(VLOOKUP($C9,Mensual!$D$6:$G$135,2,0)&lt;0,0,VLOOKUP($C9,Mensual!$D$6:$G$135,2,0))</f>
        <v>0</v>
      </c>
      <c r="E9" s="93">
        <f>IF(VLOOKUP($C9,Mensual!$D$6:$G$163,3,0)&lt;0,0,VLOOKUP($C9,Mensual!$D$6:$G$163,3,0))</f>
        <v>1</v>
      </c>
      <c r="F9" s="93">
        <f>IF(VLOOKUP($C9,Mensual!$D$6:$G$163,4,0)&lt;0,0,VLOOKUP($C9,Mensual!$D$6:$G$163,4,0))</f>
        <v>1</v>
      </c>
      <c r="G9" s="93">
        <f>IF(VLOOKUP($C9,Mensual!$D$6:$H$163,5,0)&lt;0,0,VLOOKUP($C9,Mensual!$D$6:$H$163,5,0))</f>
        <v>1</v>
      </c>
      <c r="H9" s="93">
        <f t="shared" si="0"/>
        <v>0.1</v>
      </c>
      <c r="I9" s="94"/>
      <c r="J9" s="94"/>
      <c r="K9" s="94"/>
      <c r="L9" s="94"/>
      <c r="M9" s="1"/>
      <c r="N9" s="1"/>
      <c r="O9" s="1"/>
      <c r="P9" s="1"/>
      <c r="Q9" s="1"/>
      <c r="R9" s="1"/>
      <c r="S9" s="1"/>
    </row>
    <row r="10" spans="1:21" x14ac:dyDescent="0.25">
      <c r="B10" s="3">
        <v>0.05</v>
      </c>
      <c r="C10" s="15" t="s">
        <v>111</v>
      </c>
      <c r="D10" s="92">
        <f>IF(VLOOKUP($C10,Mensual!$D$6:$G$135,2,0)&lt;0,0,VLOOKUP($C10,Mensual!$D$6:$G$135,2,0))</f>
        <v>0</v>
      </c>
      <c r="E10" s="92">
        <f>IF(VLOOKUP($C10,Mensual!$D$6:$G$163,3,0)&lt;0,0,VLOOKUP($C10,Mensual!$D$6:$G$163,3,0))</f>
        <v>3700</v>
      </c>
      <c r="F10" s="92">
        <f>IF(VLOOKUP($C10,Mensual!$D$6:$G$163,4,0)&lt;0,0,VLOOKUP($C10,Mensual!$D$6:$G$163,4,0))</f>
        <v>3932</v>
      </c>
      <c r="G10" s="93">
        <f>IF(VLOOKUP($C10,Mensual!$D$6:$H$163,5,0)&lt;0,0,VLOOKUP($C10,Mensual!$D$6:$H$163,5,0))</f>
        <v>1</v>
      </c>
      <c r="H10" s="93">
        <f t="shared" si="0"/>
        <v>0.05</v>
      </c>
      <c r="I10" s="94"/>
      <c r="J10" s="94"/>
      <c r="K10" s="94"/>
      <c r="L10" s="94"/>
      <c r="M10" s="1"/>
      <c r="N10" s="1"/>
      <c r="O10" s="1"/>
      <c r="P10" s="1"/>
      <c r="Q10" s="1"/>
      <c r="R10" s="1"/>
      <c r="S10" s="1"/>
    </row>
    <row r="11" spans="1:21" x14ac:dyDescent="0.25">
      <c r="B11" s="3">
        <v>0.04</v>
      </c>
      <c r="C11" s="15" t="s">
        <v>25</v>
      </c>
      <c r="D11" s="92">
        <f>IF(VLOOKUP($C11,Mensual!$D$6:$G$135,2,0)&lt;0,0,VLOOKUP($C11,Mensual!$D$6:$G$135,2,0))</f>
        <v>0</v>
      </c>
      <c r="E11" s="92">
        <f>IF(VLOOKUP($C11,Mensual!$D$6:$G$163,3,0)&lt;0,0,VLOOKUP($C11,Mensual!$D$6:$G$163,3,0))</f>
        <v>4500</v>
      </c>
      <c r="F11" s="92">
        <f>IF(VLOOKUP($C11,Mensual!$D$6:$G$163,4,0)&lt;0,0,VLOOKUP($C11,Mensual!$D$6:$G$163,4,0))</f>
        <v>4782</v>
      </c>
      <c r="G11" s="93">
        <f>IF(VLOOKUP($C11,Mensual!$D$6:$H$163,5,0)&lt;0,0,VLOOKUP($C11,Mensual!$D$6:$H$163,5,0))</f>
        <v>1</v>
      </c>
      <c r="H11" s="93">
        <f t="shared" ref="H11:H18" si="1">+G11*B11</f>
        <v>0.04</v>
      </c>
      <c r="I11" s="94"/>
      <c r="J11" s="94"/>
      <c r="K11" s="94"/>
      <c r="L11" s="94"/>
      <c r="M11" s="1"/>
      <c r="N11" s="1"/>
      <c r="O11" s="1"/>
      <c r="P11" s="1"/>
      <c r="Q11" s="1"/>
      <c r="R11" s="1"/>
      <c r="S11" s="1"/>
    </row>
    <row r="12" spans="1:21" x14ac:dyDescent="0.25">
      <c r="B12" s="3">
        <v>0.03</v>
      </c>
      <c r="C12" s="15" t="s">
        <v>60</v>
      </c>
      <c r="D12" s="92">
        <f>IF(VLOOKUP($C12,Mensual!$D$6:$G$135,2,0)&lt;0,0,VLOOKUP($C12,Mensual!$D$6:$G$135,2,0))</f>
        <v>0</v>
      </c>
      <c r="E12" s="92">
        <f>IF(VLOOKUP($C12,Mensual!$D$6:$G$163,3,0)&lt;0,0,VLOOKUP($C12,Mensual!$D$6:$G$163,3,0))</f>
        <v>4000</v>
      </c>
      <c r="F12" s="92">
        <f>IF(VLOOKUP($C12,Mensual!$D$6:$G$163,4,0)&lt;0,0,VLOOKUP($C12,Mensual!$D$6:$G$163,4,0))</f>
        <v>4268</v>
      </c>
      <c r="G12" s="93">
        <f>IF(VLOOKUP($C12,Mensual!$D$6:$H$163,5,0)&lt;0,0,VLOOKUP($C12,Mensual!$D$6:$H$163,5,0))</f>
        <v>1</v>
      </c>
      <c r="H12" s="93">
        <f t="shared" si="1"/>
        <v>0.03</v>
      </c>
      <c r="I12" s="94"/>
      <c r="J12" s="94"/>
      <c r="K12" s="94"/>
      <c r="L12" s="94"/>
      <c r="M12" s="1"/>
      <c r="N12" s="1"/>
      <c r="O12" s="1"/>
      <c r="P12" s="1"/>
      <c r="Q12" s="1"/>
      <c r="R12" s="1"/>
      <c r="S12" s="1"/>
    </row>
    <row r="13" spans="1:21" x14ac:dyDescent="0.25">
      <c r="B13" s="3">
        <v>0.03</v>
      </c>
      <c r="C13" s="15" t="s">
        <v>112</v>
      </c>
      <c r="D13" s="92">
        <f>IF(VLOOKUP($C13,Mensual!$D$6:$G$135,2,0)&lt;0,0,VLOOKUP($C13,Mensual!$D$6:$G$135,2,0))</f>
        <v>0</v>
      </c>
      <c r="E13" s="92">
        <f>IF(VLOOKUP($C13,Mensual!$D$6:$G$163,3,0)&lt;0,0,VLOOKUP($C13,Mensual!$D$6:$G$163,3,0))</f>
        <v>3800</v>
      </c>
      <c r="F13" s="92">
        <f>IF(VLOOKUP($C13,Mensual!$D$6:$G$163,4,0)&lt;0,0,VLOOKUP($C13,Mensual!$D$6:$G$163,4,0))</f>
        <v>3501</v>
      </c>
      <c r="G13" s="93">
        <f>IF(VLOOKUP($C13,Mensual!$D$6:$H$163,5,0)&lt;0,0,VLOOKUP($C13,Mensual!$D$6:$H$163,5,0))</f>
        <v>0</v>
      </c>
      <c r="H13" s="93">
        <f t="shared" si="1"/>
        <v>0</v>
      </c>
      <c r="I13" s="94"/>
      <c r="J13" s="94"/>
      <c r="K13" s="94"/>
      <c r="L13" s="94"/>
      <c r="M13" s="1"/>
      <c r="N13" s="1"/>
      <c r="O13" s="1"/>
      <c r="P13" s="1"/>
      <c r="Q13" s="1"/>
      <c r="R13" s="1"/>
      <c r="S13" s="1"/>
    </row>
    <row r="14" spans="1:21" x14ac:dyDescent="0.25">
      <c r="B14" s="3">
        <v>0.02</v>
      </c>
      <c r="C14" s="15" t="s">
        <v>113</v>
      </c>
      <c r="D14" s="92">
        <f>IF(VLOOKUP($C14,Mensual!$D$6:$G$135,2,0)&lt;0,0,VLOOKUP($C14,Mensual!$D$6:$G$135,2,0))</f>
        <v>0</v>
      </c>
      <c r="E14" s="92">
        <f>IF(VLOOKUP($C14,Mensual!$D$6:$G$163,3,0)&lt;0,0,VLOOKUP($C14,Mensual!$D$6:$G$163,3,0))</f>
        <v>3500</v>
      </c>
      <c r="F14" s="92">
        <f>IF(VLOOKUP($C14,Mensual!$D$6:$G$163,4,0)&lt;0,0,VLOOKUP($C14,Mensual!$D$6:$G$163,4,0))</f>
        <v>2144</v>
      </c>
      <c r="G14" s="93">
        <f>IF(VLOOKUP($C14,Mensual!$D$6:$H$163,5,0)&lt;0,0,VLOOKUP($C14,Mensual!$D$6:$H$163,5,0))</f>
        <v>0</v>
      </c>
      <c r="H14" s="93">
        <f t="shared" si="1"/>
        <v>0</v>
      </c>
      <c r="I14" s="94"/>
      <c r="J14" s="94"/>
      <c r="K14" s="94"/>
      <c r="L14" s="94"/>
      <c r="M14" s="1"/>
      <c r="N14" s="1"/>
      <c r="O14" s="1"/>
      <c r="P14" s="1"/>
      <c r="Q14" s="1"/>
      <c r="R14" s="1"/>
      <c r="S14" s="1"/>
    </row>
    <row r="15" spans="1:21" x14ac:dyDescent="0.25">
      <c r="B15" s="3">
        <v>0.02</v>
      </c>
      <c r="C15" s="15" t="s">
        <v>114</v>
      </c>
      <c r="D15" s="92">
        <f>IF(VLOOKUP($C15,Mensual!$D$6:$G$135,2,0)&lt;0,0,VLOOKUP($C15,Mensual!$D$6:$G$135,2,0))</f>
        <v>0</v>
      </c>
      <c r="E15" s="92">
        <f>IF(VLOOKUP($C15,Mensual!$D$6:$G$163,3,0)&lt;0,0,VLOOKUP($C15,Mensual!$D$6:$G$163,3,0))</f>
        <v>3500</v>
      </c>
      <c r="F15" s="92">
        <f>IF(VLOOKUP($C15,Mensual!$D$6:$G$163,4,0)&lt;0,0,VLOOKUP($C15,Mensual!$D$6:$G$163,4,0))</f>
        <v>2560</v>
      </c>
      <c r="G15" s="93">
        <f>IF(VLOOKUP($C15,Mensual!$D$6:$H$163,5,0)&lt;0,0,VLOOKUP($C15,Mensual!$D$6:$H$163,5,0))</f>
        <v>0</v>
      </c>
      <c r="H15" s="93">
        <f t="shared" si="1"/>
        <v>0</v>
      </c>
      <c r="I15" s="94"/>
      <c r="J15" s="94"/>
      <c r="K15" s="94"/>
      <c r="L15" s="94"/>
      <c r="M15" s="1"/>
      <c r="N15" s="1"/>
      <c r="O15" s="1"/>
      <c r="P15" s="1"/>
      <c r="Q15" s="1"/>
      <c r="R15" s="1"/>
      <c r="S15" s="1"/>
    </row>
    <row r="16" spans="1:21" x14ac:dyDescent="0.25">
      <c r="B16" s="3">
        <v>0.02</v>
      </c>
      <c r="C16" s="15" t="s">
        <v>115</v>
      </c>
      <c r="D16" s="92">
        <f>IF(VLOOKUP($C16,Mensual!$D$6:$G$135,2,0)&lt;0,0,VLOOKUP($C16,Mensual!$D$6:$G$135,2,0))</f>
        <v>0</v>
      </c>
      <c r="E16" s="92">
        <f>IF(VLOOKUP($C16,Mensual!$D$6:$G$163,3,0)&lt;0,0,VLOOKUP($C16,Mensual!$D$6:$G$163,3,0))</f>
        <v>3500</v>
      </c>
      <c r="F16" s="92">
        <f>IF(VLOOKUP($C16,Mensual!$D$6:$G$163,4,0)&lt;0,0,VLOOKUP($C16,Mensual!$D$6:$G$163,4,0))</f>
        <v>3165</v>
      </c>
      <c r="G16" s="93">
        <f>IF(VLOOKUP($C16,Mensual!$D$6:$H$163,5,0)&lt;0,0,VLOOKUP($C16,Mensual!$D$6:$H$163,5,0))</f>
        <v>0</v>
      </c>
      <c r="H16" s="93">
        <f t="shared" si="1"/>
        <v>0</v>
      </c>
      <c r="I16" s="94"/>
      <c r="J16" s="94"/>
      <c r="K16" s="94"/>
      <c r="L16" s="94"/>
      <c r="M16" s="1"/>
      <c r="N16" s="1"/>
      <c r="O16" s="1"/>
      <c r="P16" s="1"/>
      <c r="Q16" s="1"/>
      <c r="R16" s="1"/>
      <c r="S16" s="1"/>
    </row>
    <row r="17" spans="2:19" x14ac:dyDescent="0.25">
      <c r="B17" s="3">
        <v>0.02</v>
      </c>
      <c r="C17" s="15" t="s">
        <v>116</v>
      </c>
      <c r="D17" s="92">
        <f>IF(VLOOKUP($C17,Mensual!$D$6:$G$135,2,0)&lt;0,0,VLOOKUP($C17,Mensual!$D$6:$G$135,2,0))</f>
        <v>0</v>
      </c>
      <c r="E17" s="92">
        <f>IF(VLOOKUP($C17,Mensual!$D$6:$G$163,3,0)&lt;0,0,VLOOKUP($C17,Mensual!$D$6:$G$163,3,0))</f>
        <v>3500</v>
      </c>
      <c r="F17" s="92">
        <f>IF(VLOOKUP($C17,Mensual!$D$6:$G$163,4,0)&lt;0,0,VLOOKUP($C17,Mensual!$D$6:$G$163,4,0))</f>
        <v>2923</v>
      </c>
      <c r="G17" s="93">
        <f>IF(VLOOKUP($C17,Mensual!$D$6:$H$163,5,0)&lt;0,0,VLOOKUP($C17,Mensual!$D$6:$H$163,5,0))</f>
        <v>0</v>
      </c>
      <c r="H17" s="93">
        <f t="shared" si="1"/>
        <v>0</v>
      </c>
      <c r="I17" s="94"/>
      <c r="J17" s="94"/>
      <c r="K17" s="94"/>
      <c r="L17" s="94"/>
      <c r="M17" s="1"/>
      <c r="N17" s="1"/>
      <c r="O17" s="1"/>
      <c r="P17" s="1"/>
      <c r="Q17" s="1"/>
      <c r="R17" s="1"/>
      <c r="S17" s="1"/>
    </row>
    <row r="18" spans="2:19" x14ac:dyDescent="0.25">
      <c r="B18" s="3">
        <v>0.02</v>
      </c>
      <c r="C18" s="15" t="s">
        <v>117</v>
      </c>
      <c r="D18" s="92">
        <f>IF(VLOOKUP($C18,Mensual!$D$6:$G$135,2,0)&lt;0,0,VLOOKUP($C18,Mensual!$D$6:$G$135,2,0))</f>
        <v>0</v>
      </c>
      <c r="E18" s="92">
        <f>IF(VLOOKUP($C18,Mensual!$D$6:$G$163,3,0)&lt;0,0,VLOOKUP($C18,Mensual!$D$6:$G$163,3,0))</f>
        <v>3500</v>
      </c>
      <c r="F18" s="92">
        <f>IF(VLOOKUP($C18,Mensual!$D$6:$G$163,4,0)&lt;0,0,VLOOKUP($C18,Mensual!$D$6:$G$163,4,0))</f>
        <v>2234</v>
      </c>
      <c r="G18" s="93">
        <f>IF(VLOOKUP($C18,Mensual!$D$6:$H$163,5,0)&lt;0,0,VLOOKUP($C18,Mensual!$D$6:$H$163,5,0))</f>
        <v>0</v>
      </c>
      <c r="H18" s="93">
        <f t="shared" si="1"/>
        <v>0</v>
      </c>
      <c r="I18" s="94"/>
      <c r="J18" s="94"/>
      <c r="K18" s="94"/>
      <c r="L18" s="94"/>
      <c r="M18" s="1"/>
      <c r="N18" s="1"/>
      <c r="O18" s="1"/>
      <c r="P18" s="1"/>
      <c r="Q18" s="1"/>
      <c r="R18" s="1"/>
      <c r="S18" s="1"/>
    </row>
    <row r="19" spans="2:19" x14ac:dyDescent="0.25">
      <c r="B19" s="3">
        <v>0.02</v>
      </c>
      <c r="C19" s="15" t="s">
        <v>118</v>
      </c>
      <c r="D19" s="92">
        <f>IF(VLOOKUP($C19,Mensual!$D$6:$G$135,2,0)&lt;0,0,VLOOKUP($C19,Mensual!$D$6:$G$135,2,0))</f>
        <v>0</v>
      </c>
      <c r="E19" s="92">
        <f>IF(VLOOKUP($C19,Mensual!$D$6:$G$163,3,0)&lt;0,0,VLOOKUP($C19,Mensual!$D$6:$G$163,3,0))</f>
        <v>3500</v>
      </c>
      <c r="F19" s="92">
        <f>IF(VLOOKUP($C19,Mensual!$D$6:$G$163,4,0)&lt;0,0,VLOOKUP($C19,Mensual!$D$6:$G$163,4,0))</f>
        <v>1551</v>
      </c>
      <c r="G19" s="93">
        <f>IF(VLOOKUP($C19,Mensual!$D$6:$H$163,5,0)&lt;0,0,VLOOKUP($C19,Mensual!$D$6:$H$163,5,0))</f>
        <v>0</v>
      </c>
      <c r="H19" s="93">
        <f t="shared" ref="H19:H20" si="2">+G19*B19</f>
        <v>0</v>
      </c>
      <c r="I19" s="94"/>
      <c r="J19" s="94"/>
      <c r="K19" s="94"/>
      <c r="L19" s="94"/>
      <c r="M19" s="1"/>
      <c r="N19" s="1"/>
      <c r="O19" s="1"/>
      <c r="P19" s="1"/>
      <c r="Q19" s="1"/>
      <c r="R19" s="1"/>
      <c r="S19" s="1"/>
    </row>
    <row r="20" spans="2:19" x14ac:dyDescent="0.25">
      <c r="B20" s="3">
        <v>0.09</v>
      </c>
      <c r="C20" s="15" t="s">
        <v>119</v>
      </c>
      <c r="D20" s="92">
        <f>IF(VLOOKUP($C20,Mensual!$D$6:$G$135,2,0)&lt;0,0,VLOOKUP($C20,Mensual!$D$6:$G$135,2,0))</f>
        <v>0</v>
      </c>
      <c r="E20" s="92">
        <f>IF(VLOOKUP($C20,Mensual!$D$6:$G$163,3,0)&lt;0,0,VLOOKUP($C20,Mensual!$D$6:$G$163,3,0))</f>
        <v>0.1</v>
      </c>
      <c r="F20" s="92">
        <f>IF(VLOOKUP($C20,Mensual!$D$6:$G$163,4,0)&lt;0,0,VLOOKUP($C20,Mensual!$D$6:$G$163,4,0))</f>
        <v>1</v>
      </c>
      <c r="G20" s="93">
        <f>IF(VLOOKUP($C20,Mensual!$D$6:$H$163,5,0)&lt;0,0,VLOOKUP($C20,Mensual!$D$6:$H$163,5,0))</f>
        <v>1</v>
      </c>
      <c r="H20" s="93">
        <f t="shared" si="2"/>
        <v>0.09</v>
      </c>
      <c r="I20" s="94"/>
      <c r="J20" s="94"/>
      <c r="K20" s="94"/>
      <c r="L20" s="94"/>
      <c r="M20" s="1"/>
      <c r="N20" s="1"/>
      <c r="O20" s="1"/>
      <c r="P20" s="1"/>
      <c r="Q20" s="1"/>
      <c r="R20" s="1"/>
      <c r="S20" s="1"/>
    </row>
    <row r="21" spans="2:19" x14ac:dyDescent="0.25">
      <c r="B21" s="3">
        <v>0.03</v>
      </c>
      <c r="C21" s="15" t="s">
        <v>120</v>
      </c>
      <c r="D21" s="92" t="str">
        <f>IF(VLOOKUP($C21,Mensual!$D$6:$G$135,2,0)&lt;0,0,VLOOKUP($C21,Mensual!$D$6:$G$135,2,0))</f>
        <v>kms/viaje</v>
      </c>
      <c r="E21" s="93">
        <f>IF(VLOOKUP($C21,Mensual!$D$6:$G$163,3,0)&lt;0,0,VLOOKUP($C21,Mensual!$D$6:$G$163,3,0))</f>
        <v>0.1</v>
      </c>
      <c r="F21" s="93">
        <f>IF(VLOOKUP($C21,Mensual!$D$6:$G$163,4,0)&lt;0,0,VLOOKUP($C21,Mensual!$D$6:$G$163,4,0))</f>
        <v>0.25182481751825003</v>
      </c>
      <c r="G21" s="93">
        <f>IF(VLOOKUP($C21,Mensual!$D$6:$H$163,5,0)&lt;0,0,VLOOKUP($C21,Mensual!$D$6:$H$163,5,0))</f>
        <v>1</v>
      </c>
      <c r="H21" s="93">
        <f t="shared" si="0"/>
        <v>0.03</v>
      </c>
      <c r="I21" s="94"/>
      <c r="J21" s="94"/>
      <c r="K21" s="94"/>
      <c r="L21" s="94"/>
      <c r="M21" s="1"/>
      <c r="N21" s="1"/>
      <c r="O21" s="1"/>
      <c r="P21" s="1"/>
      <c r="Q21" s="1"/>
      <c r="R21" s="1"/>
      <c r="S21" s="1"/>
    </row>
    <row r="22" spans="2:19" x14ac:dyDescent="0.25">
      <c r="B22" s="3">
        <v>0.03</v>
      </c>
      <c r="C22" s="15" t="s">
        <v>44</v>
      </c>
      <c r="D22" s="92">
        <f>IF(VLOOKUP($C22,Mensual!$D$6:$G$135,2,0)&lt;0,0,VLOOKUP($C22,Mensual!$D$6:$G$135,2,0))</f>
        <v>0</v>
      </c>
      <c r="E22" s="93">
        <f>IF(VLOOKUP($C22,Mensual!$D$6:$G$163,3,0)&lt;0,0,VLOOKUP($C22,Mensual!$D$6:$G$163,3,0))</f>
        <v>0.1</v>
      </c>
      <c r="F22" s="93">
        <f>IF(VLOOKUP($C22,Mensual!$D$6:$G$163,4,0)&lt;0,0,VLOOKUP($C22,Mensual!$D$6:$G$163,4,0))</f>
        <v>0.1</v>
      </c>
      <c r="G22" s="93">
        <f>IF(VLOOKUP($C22,Mensual!$D$6:$H$163,5,0)&lt;0,0,VLOOKUP($C22,Mensual!$D$6:$H$163,5,0))</f>
        <v>1</v>
      </c>
      <c r="H22" s="93">
        <f t="shared" ref="H22" si="3">+G22*B22</f>
        <v>0.03</v>
      </c>
      <c r="I22" s="94"/>
      <c r="J22" s="94"/>
      <c r="K22" s="94"/>
      <c r="L22" s="94"/>
      <c r="M22" s="1"/>
      <c r="N22" s="1"/>
      <c r="O22" s="1"/>
      <c r="P22" s="1"/>
      <c r="Q22" s="1"/>
      <c r="R22" s="1"/>
      <c r="S22" s="1"/>
    </row>
    <row r="23" spans="2:19" x14ac:dyDescent="0.25">
      <c r="B23" s="3">
        <v>0.08</v>
      </c>
      <c r="C23" s="15" t="s">
        <v>121</v>
      </c>
      <c r="D23" s="92" t="str">
        <f>IF(VLOOKUP($C23,Mensual!$D$6:$G$135,2,0)&lt;0,0,VLOOKUP($C23,Mensual!$D$6:$G$135,2,0))</f>
        <v xml:space="preserve">kms </v>
      </c>
      <c r="E23" s="92">
        <f>IF(VLOOKUP($C23,Mensual!$D$6:$G$163,3,0)&lt;0,0,VLOOKUP($C23,Mensual!$D$6:$G$163,3,0))</f>
        <v>506974.68</v>
      </c>
      <c r="F23" s="92">
        <f>IF(VLOOKUP($C23,Mensual!$D$6:$G$163,4,0)&lt;0,0,VLOOKUP($C23,Mensual!$D$6:$G$163,4,0))</f>
        <v>485973.6</v>
      </c>
      <c r="G23" s="93">
        <f>IF(VLOOKUP($C23,Mensual!$D$6:$H$163,5,0)&lt;0,0,VLOOKUP($C23,Mensual!$D$6:$H$163,5,0))</f>
        <v>0</v>
      </c>
      <c r="H23" s="93">
        <f t="shared" si="0"/>
        <v>0</v>
      </c>
      <c r="I23" s="94"/>
      <c r="J23" s="94"/>
      <c r="K23" s="94"/>
      <c r="L23" s="94"/>
      <c r="M23" s="1"/>
      <c r="N23" s="1"/>
      <c r="O23" s="1"/>
      <c r="P23" s="1"/>
      <c r="Q23" s="1"/>
      <c r="R23" s="1"/>
      <c r="S23" s="1"/>
    </row>
    <row r="24" spans="2:19" x14ac:dyDescent="0.25">
      <c r="B24" s="1">
        <f>SUM(B6:B23)</f>
        <v>1.0000000000000002</v>
      </c>
      <c r="C24" s="2"/>
      <c r="D24" s="1"/>
      <c r="E24" s="1"/>
      <c r="F24" s="1"/>
      <c r="G24" s="1"/>
      <c r="H24" s="35">
        <f>SUM(H6:H23)</f>
        <v>0.72812500000000013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2:19" x14ac:dyDescent="0.25">
      <c r="C25" s="2"/>
    </row>
  </sheetData>
  <mergeCells count="2">
    <mergeCell ref="D2:F2"/>
    <mergeCell ref="D3:F3"/>
  </mergeCells>
  <dataValidations count="1">
    <dataValidation type="list" allowBlank="1" showInputMessage="1" showErrorMessage="1" sqref="D2:F2" xr:uid="{00000000-0002-0000-1500-000000000000}">
      <formula1>INDIRECT(D3)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500-000001000000}">
          <x14:formula1>
            <xm:f>Acumulado!$C$3:$C$661</xm:f>
          </x14:formula1>
          <xm:sqref>C6</xm:sqref>
        </x14:dataValidation>
        <x14:dataValidation type="list" allowBlank="1" showInputMessage="1" showErrorMessage="1" xr:uid="{00000000-0002-0000-1500-000002000000}">
          <x14:formula1>
            <xm:f>Listados!$A$1:$L$1</xm:f>
          </x14:formula1>
          <xm:sqref>D3:F3</xm:sqref>
        </x14:dataValidation>
        <x14:dataValidation type="list" allowBlank="1" showInputMessage="1" showErrorMessage="1" xr:uid="{00000000-0002-0000-1500-000003000000}">
          <x14:formula1>
            <xm:f>Acumulado!$C$3:$C$131</xm:f>
          </x14:formula1>
          <xm:sqref>C7:C23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9"/>
  </sheetPr>
  <dimension ref="A1:U32"/>
  <sheetViews>
    <sheetView showGridLines="0" zoomScale="85" zoomScaleNormal="85" workbookViewId="0">
      <selection activeCell="C19" sqref="C19"/>
    </sheetView>
  </sheetViews>
  <sheetFormatPr baseColWidth="10" defaultColWidth="11.42578125" defaultRowHeight="15" x14ac:dyDescent="0.25"/>
  <cols>
    <col min="3" max="3" width="65.85546875" bestFit="1" customWidth="1"/>
    <col min="4" max="4" width="19.5703125" customWidth="1"/>
    <col min="5" max="5" width="13.85546875" bestFit="1" customWidth="1"/>
    <col min="6" max="6" width="12.85546875" bestFit="1" customWidth="1"/>
    <col min="7" max="7" width="11.42578125" customWidth="1"/>
    <col min="8" max="8" width="19.140625" customWidth="1"/>
    <col min="9" max="9" width="13.7109375" bestFit="1" customWidth="1"/>
  </cols>
  <sheetData>
    <row r="1" spans="1:21" x14ac:dyDescent="0.25">
      <c r="I1" s="38">
        <v>0.9</v>
      </c>
      <c r="J1" s="41"/>
    </row>
    <row r="2" spans="1:21" x14ac:dyDescent="0.25">
      <c r="C2" s="2"/>
      <c r="I2" s="39" t="s">
        <v>1</v>
      </c>
      <c r="J2" s="42"/>
    </row>
    <row r="3" spans="1:21" x14ac:dyDescent="0.25">
      <c r="C3" s="7" t="s">
        <v>2</v>
      </c>
      <c r="D3" s="244" t="s">
        <v>108</v>
      </c>
      <c r="E3" s="244"/>
      <c r="F3" s="244"/>
      <c r="I3" s="39" t="s">
        <v>4</v>
      </c>
      <c r="J3" s="40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x14ac:dyDescent="0.25">
      <c r="A6">
        <f>+Mensual!B6</f>
        <v>4</v>
      </c>
      <c r="B6" s="3">
        <v>0.1</v>
      </c>
      <c r="C6" s="15" t="s">
        <v>7</v>
      </c>
      <c r="D6" s="33" t="str">
        <f>IF(VLOOKUP($C6,Mensual!$D$6:$G$163,2,0)&lt;0,0,VLOOKUP($C6,Mensual!$D$6:$G$163,2,0))</f>
        <v>RESULTADO SCORECARD</v>
      </c>
      <c r="E6" s="4">
        <f>IF(VLOOKUP($C6,Mensual!$D$6:$G$163,3,0)&lt;0,0,VLOOKUP($C6,Mensual!$D$6:$G$163,3,0))</f>
        <v>1</v>
      </c>
      <c r="F6" s="4">
        <f>IF(VLOOKUP($C6,Mensual!$D$6:$G$163,4,0)&lt;0,0,VLOOKUP($C6,Mensual!$D$6:$G$163,4,0))</f>
        <v>1.0325000000000002</v>
      </c>
      <c r="G6" s="4">
        <f>IF(VLOOKUP($C6,Mensual!$D$6:$H$163,5,0)&lt;0,0,VLOOKUP($C6,Mensual!$D$6:$H$163,5,0))</f>
        <v>1.0325000000000002</v>
      </c>
      <c r="H6" s="4">
        <f>+G6*B6</f>
        <v>0.10325000000000002</v>
      </c>
      <c r="I6" s="31">
        <f>+Mensual!J6</f>
        <v>0</v>
      </c>
      <c r="J6" s="31">
        <f>+Mensual!K6</f>
        <v>0</v>
      </c>
      <c r="K6" s="31">
        <f>+Mensual!L6</f>
        <v>0</v>
      </c>
      <c r="L6" s="31">
        <f>+Mensual!M6</f>
        <v>0</v>
      </c>
      <c r="M6" s="3"/>
      <c r="N6" s="3"/>
      <c r="O6" s="3"/>
      <c r="P6" s="3"/>
      <c r="Q6" s="3"/>
      <c r="R6" s="3"/>
      <c r="S6" s="3"/>
    </row>
    <row r="7" spans="1:21" x14ac:dyDescent="0.25">
      <c r="B7" s="3">
        <v>0.11</v>
      </c>
      <c r="C7" s="15" t="s">
        <v>109</v>
      </c>
      <c r="D7" s="92">
        <f>IF(VLOOKUP($C7,Mensual!$D$6:$G$135,2,0)&lt;0,0,VLOOKUP($C7,Mensual!$D$6:$G$135,2,0))</f>
        <v>0</v>
      </c>
      <c r="E7" s="104">
        <f>IF(VLOOKUP($C7,Mensual!$D$6:$G$163,3,0)&lt;0,0,VLOOKUP($C7,Mensual!$D$6:$G$163,3,0))</f>
        <v>0.995</v>
      </c>
      <c r="F7" s="93">
        <f>IF(VLOOKUP($C7,Mensual!$D$6:$G$163,4,0)&lt;0,0,VLOOKUP($C7,Mensual!$D$6:$G$163,4,0))</f>
        <v>1</v>
      </c>
      <c r="G7" s="93">
        <f>IF(VLOOKUP($C7,Mensual!$D$6:$H$163,5,0)&lt;0,0,VLOOKUP($C7,Mensual!$D$6:$H$163,5,0))</f>
        <v>1</v>
      </c>
      <c r="H7" s="93">
        <f t="shared" ref="H7:H23" si="0">+G7*B7</f>
        <v>0.11</v>
      </c>
      <c r="I7" s="94"/>
      <c r="J7" s="94"/>
      <c r="K7" s="94"/>
      <c r="L7" s="94"/>
      <c r="M7" s="1"/>
      <c r="N7" s="1"/>
      <c r="O7" s="1"/>
      <c r="P7" s="1"/>
      <c r="Q7" s="1"/>
      <c r="R7" s="1"/>
      <c r="S7" s="1"/>
    </row>
    <row r="8" spans="1:21" x14ac:dyDescent="0.25">
      <c r="B8" s="3">
        <v>0.06</v>
      </c>
      <c r="C8" s="15" t="s">
        <v>110</v>
      </c>
      <c r="D8" s="92" t="str">
        <f>IF(VLOOKUP($C8,Mensual!$D$6:$G$135,2,0)&lt;0,0,VLOOKUP($C8,Mensual!$D$6:$G$135,2,0))</f>
        <v># de viajes</v>
      </c>
      <c r="E8" s="93">
        <f>IF(VLOOKUP($C8,Mensual!$D$6:$G$163,3,0)&lt;0,0,VLOOKUP($C8,Mensual!$D$6:$G$163,3,0))</f>
        <v>0.2</v>
      </c>
      <c r="F8" s="93">
        <f>IF(VLOOKUP($C8,Mensual!$D$6:$G$163,4,0)&lt;0,0,VLOOKUP($C8,Mensual!$D$6:$G$163,4,0))</f>
        <v>0</v>
      </c>
      <c r="G8" s="93">
        <f>IF(VLOOKUP($C8,Mensual!$D$6:$H$163,5,0)&lt;0,0,VLOOKUP($C8,Mensual!$D$6:$H$163,5,0))</f>
        <v>0</v>
      </c>
      <c r="H8" s="93">
        <f t="shared" si="0"/>
        <v>0</v>
      </c>
      <c r="I8" s="94"/>
      <c r="J8" s="94"/>
      <c r="K8" s="94"/>
      <c r="L8" s="94"/>
      <c r="M8" s="1"/>
      <c r="N8" s="1"/>
      <c r="O8" s="1"/>
      <c r="P8" s="1"/>
      <c r="Q8" s="1"/>
      <c r="R8" s="1"/>
      <c r="S8" s="1"/>
    </row>
    <row r="9" spans="1:21" x14ac:dyDescent="0.25">
      <c r="B9" s="3">
        <v>0.1</v>
      </c>
      <c r="C9" s="15" t="s">
        <v>34</v>
      </c>
      <c r="D9" s="92">
        <f>IF(VLOOKUP($C9,Mensual!$D$6:$G$135,2,0)&lt;0,0,VLOOKUP($C9,Mensual!$D$6:$G$135,2,0))</f>
        <v>0</v>
      </c>
      <c r="E9" s="93">
        <f>IF(VLOOKUP($C9,Mensual!$D$6:$G$163,3,0)&lt;0,0,VLOOKUP($C9,Mensual!$D$6:$G$163,3,0))</f>
        <v>1</v>
      </c>
      <c r="F9" s="93">
        <f>IF(VLOOKUP($C9,Mensual!$D$6:$G$163,4,0)&lt;0,0,VLOOKUP($C9,Mensual!$D$6:$G$163,4,0))</f>
        <v>1</v>
      </c>
      <c r="G9" s="93">
        <f>IF(VLOOKUP($C9,Mensual!$D$6:$H$163,5,0)&lt;0,0,VLOOKUP($C9,Mensual!$D$6:$H$163,5,0))</f>
        <v>1</v>
      </c>
      <c r="H9" s="93">
        <f t="shared" si="0"/>
        <v>0.1</v>
      </c>
      <c r="I9" s="94"/>
      <c r="J9" s="94"/>
      <c r="K9" s="94"/>
      <c r="L9" s="94"/>
      <c r="M9" s="1"/>
      <c r="N9" s="1"/>
      <c r="O9" s="1"/>
      <c r="P9" s="1"/>
      <c r="Q9" s="1"/>
      <c r="R9" s="1"/>
      <c r="S9" s="1"/>
    </row>
    <row r="10" spans="1:21" x14ac:dyDescent="0.25">
      <c r="B10" s="3">
        <v>0.06</v>
      </c>
      <c r="C10" s="15" t="s">
        <v>111</v>
      </c>
      <c r="D10" s="92">
        <f>IF(VLOOKUP($C10,Mensual!$D$6:$G$135,2,0)&lt;0,0,VLOOKUP($C10,Mensual!$D$6:$G$135,2,0))</f>
        <v>0</v>
      </c>
      <c r="E10" s="92">
        <f>IF(VLOOKUP($C10,Mensual!$D$6:$G$163,3,0)&lt;0,0,VLOOKUP($C10,Mensual!$D$6:$G$163,3,0))</f>
        <v>3700</v>
      </c>
      <c r="F10" s="92">
        <f>IF(VLOOKUP($C10,Mensual!$D$6:$G$163,4,0)&lt;0,0,VLOOKUP($C10,Mensual!$D$6:$G$163,4,0))</f>
        <v>3932</v>
      </c>
      <c r="G10" s="93">
        <f>IF(VLOOKUP($C10,Mensual!$D$6:$H$163,5,0)&lt;0,0,VLOOKUP($C10,Mensual!$D$6:$H$163,5,0))</f>
        <v>1</v>
      </c>
      <c r="H10" s="93">
        <f t="shared" si="0"/>
        <v>0.06</v>
      </c>
      <c r="I10" s="94"/>
      <c r="J10" s="94"/>
      <c r="K10" s="94"/>
      <c r="L10" s="94"/>
      <c r="M10" s="1"/>
      <c r="N10" s="1"/>
      <c r="O10" s="1"/>
      <c r="P10" s="1"/>
      <c r="Q10" s="1"/>
      <c r="R10" s="1"/>
      <c r="S10" s="1"/>
    </row>
    <row r="11" spans="1:21" x14ac:dyDescent="0.25">
      <c r="B11" s="3">
        <v>0.05</v>
      </c>
      <c r="C11" s="15" t="s">
        <v>25</v>
      </c>
      <c r="D11" s="92">
        <f>IF(VLOOKUP($C11,Mensual!$D$6:$G$135,2,0)&lt;0,0,VLOOKUP($C11,Mensual!$D$6:$G$135,2,0))</f>
        <v>0</v>
      </c>
      <c r="E11" s="92">
        <f>IF(VLOOKUP($C11,Mensual!$D$6:$G$163,3,0)&lt;0,0,VLOOKUP($C11,Mensual!$D$6:$G$163,3,0))</f>
        <v>4500</v>
      </c>
      <c r="F11" s="92">
        <f>IF(VLOOKUP($C11,Mensual!$D$6:$G$163,4,0)&lt;0,0,VLOOKUP($C11,Mensual!$D$6:$G$163,4,0))</f>
        <v>4782</v>
      </c>
      <c r="G11" s="93">
        <f>IF(VLOOKUP($C11,Mensual!$D$6:$H$163,5,0)&lt;0,0,VLOOKUP($C11,Mensual!$D$6:$H$163,5,0))</f>
        <v>1</v>
      </c>
      <c r="H11" s="93">
        <f t="shared" si="0"/>
        <v>0.05</v>
      </c>
      <c r="I11" s="94"/>
      <c r="J11" s="94"/>
      <c r="K11" s="94"/>
      <c r="L11" s="94"/>
      <c r="M11" s="1"/>
      <c r="N11" s="1"/>
      <c r="O11" s="1"/>
      <c r="P11" s="1"/>
      <c r="Q11" s="1"/>
      <c r="R11" s="1"/>
      <c r="S11" s="1"/>
    </row>
    <row r="12" spans="1:21" x14ac:dyDescent="0.25">
      <c r="B12" s="3">
        <v>0.04</v>
      </c>
      <c r="C12" s="15" t="s">
        <v>60</v>
      </c>
      <c r="D12" s="92">
        <f>IF(VLOOKUP($C12,Mensual!$D$6:$G$135,2,0)&lt;0,0,VLOOKUP($C12,Mensual!$D$6:$G$135,2,0))</f>
        <v>0</v>
      </c>
      <c r="E12" s="92">
        <f>IF(VLOOKUP($C12,Mensual!$D$6:$G$163,3,0)&lt;0,0,VLOOKUP($C12,Mensual!$D$6:$G$163,3,0))</f>
        <v>4000</v>
      </c>
      <c r="F12" s="92">
        <f>IF(VLOOKUP($C12,Mensual!$D$6:$G$163,4,0)&lt;0,0,VLOOKUP($C12,Mensual!$D$6:$G$163,4,0))</f>
        <v>4268</v>
      </c>
      <c r="G12" s="93">
        <f>IF(VLOOKUP($C12,Mensual!$D$6:$H$163,5,0)&lt;0,0,VLOOKUP($C12,Mensual!$D$6:$H$163,5,0))</f>
        <v>1</v>
      </c>
      <c r="H12" s="93">
        <f t="shared" si="0"/>
        <v>0.04</v>
      </c>
      <c r="I12" s="94"/>
      <c r="J12" s="94"/>
      <c r="K12" s="94"/>
      <c r="L12" s="94"/>
      <c r="M12" s="1"/>
      <c r="N12" s="1"/>
      <c r="O12" s="1"/>
      <c r="P12" s="1"/>
      <c r="Q12" s="1"/>
      <c r="R12" s="1"/>
      <c r="S12" s="1"/>
    </row>
    <row r="13" spans="1:21" x14ac:dyDescent="0.25">
      <c r="B13" s="3">
        <v>0.04</v>
      </c>
      <c r="C13" s="15" t="s">
        <v>112</v>
      </c>
      <c r="D13" s="92">
        <f>IF(VLOOKUP($C13,Mensual!$D$6:$G$135,2,0)&lt;0,0,VLOOKUP($C13,Mensual!$D$6:$G$135,2,0))</f>
        <v>0</v>
      </c>
      <c r="E13" s="92">
        <f>IF(VLOOKUP($C13,Mensual!$D$6:$G$163,3,0)&lt;0,0,VLOOKUP($C13,Mensual!$D$6:$G$163,3,0))</f>
        <v>3800</v>
      </c>
      <c r="F13" s="92">
        <f>IF(VLOOKUP($C13,Mensual!$D$6:$G$163,4,0)&lt;0,0,VLOOKUP($C13,Mensual!$D$6:$G$163,4,0))</f>
        <v>3501</v>
      </c>
      <c r="G13" s="93">
        <f>IF(VLOOKUP($C13,Mensual!$D$6:$H$163,5,0)&lt;0,0,VLOOKUP($C13,Mensual!$D$6:$H$163,5,0))</f>
        <v>0</v>
      </c>
      <c r="H13" s="93">
        <f t="shared" si="0"/>
        <v>0</v>
      </c>
      <c r="I13" s="94"/>
      <c r="J13" s="94"/>
      <c r="K13" s="94"/>
      <c r="L13" s="94"/>
      <c r="M13" s="1"/>
      <c r="N13" s="1"/>
      <c r="O13" s="1"/>
      <c r="P13" s="1"/>
      <c r="Q13" s="1"/>
      <c r="R13" s="1"/>
      <c r="S13" s="1"/>
    </row>
    <row r="14" spans="1:21" x14ac:dyDescent="0.25">
      <c r="B14" s="3">
        <v>0.03</v>
      </c>
      <c r="C14" s="15" t="s">
        <v>113</v>
      </c>
      <c r="D14" s="92">
        <f>IF(VLOOKUP($C14,Mensual!$D$6:$G$135,2,0)&lt;0,0,VLOOKUP($C14,Mensual!$D$6:$G$135,2,0))</f>
        <v>0</v>
      </c>
      <c r="E14" s="92">
        <f>IF(VLOOKUP($C14,Mensual!$D$6:$G$163,3,0)&lt;0,0,VLOOKUP($C14,Mensual!$D$6:$G$163,3,0))</f>
        <v>3500</v>
      </c>
      <c r="F14" s="92">
        <f>IF(VLOOKUP($C14,Mensual!$D$6:$G$163,4,0)&lt;0,0,VLOOKUP($C14,Mensual!$D$6:$G$163,4,0))</f>
        <v>2144</v>
      </c>
      <c r="G14" s="93">
        <f>IF(VLOOKUP($C14,Mensual!$D$6:$H$163,5,0)&lt;0,0,VLOOKUP($C14,Mensual!$D$6:$H$163,5,0))</f>
        <v>0</v>
      </c>
      <c r="H14" s="93">
        <f>+G14*B14</f>
        <v>0</v>
      </c>
      <c r="I14" s="94"/>
      <c r="J14" s="94"/>
      <c r="K14" s="94"/>
      <c r="L14" s="94"/>
      <c r="M14" s="1"/>
      <c r="N14" s="1"/>
      <c r="O14" s="1"/>
      <c r="P14" s="1"/>
      <c r="Q14" s="1"/>
      <c r="R14" s="1"/>
      <c r="S14" s="1"/>
    </row>
    <row r="15" spans="1:21" x14ac:dyDescent="0.25">
      <c r="B15" s="3">
        <v>0.03</v>
      </c>
      <c r="C15" s="15" t="s">
        <v>114</v>
      </c>
      <c r="D15" s="92">
        <f>IF(VLOOKUP($C15,Mensual!$D$6:$G$135,2,0)&lt;0,0,VLOOKUP($C15,Mensual!$D$6:$G$135,2,0))</f>
        <v>0</v>
      </c>
      <c r="E15" s="92">
        <f>IF(VLOOKUP($C15,Mensual!$D$6:$G$163,3,0)&lt;0,0,VLOOKUP($C15,Mensual!$D$6:$G$163,3,0))</f>
        <v>3500</v>
      </c>
      <c r="F15" s="92">
        <f>IF(VLOOKUP($C15,Mensual!$D$6:$G$163,4,0)&lt;0,0,VLOOKUP($C15,Mensual!$D$6:$G$163,4,0))</f>
        <v>2560</v>
      </c>
      <c r="G15" s="93">
        <f>IF(VLOOKUP($C15,Mensual!$D$6:$H$163,5,0)&lt;0,0,VLOOKUP($C15,Mensual!$D$6:$H$163,5,0))</f>
        <v>0</v>
      </c>
      <c r="H15" s="93">
        <f t="shared" si="0"/>
        <v>0</v>
      </c>
      <c r="I15" s="94"/>
      <c r="J15" s="94"/>
      <c r="K15" s="94"/>
      <c r="L15" s="94"/>
      <c r="M15" s="1"/>
      <c r="N15" s="1"/>
      <c r="O15" s="1"/>
      <c r="P15" s="1"/>
      <c r="Q15" s="1"/>
      <c r="R15" s="1"/>
      <c r="S15" s="1"/>
    </row>
    <row r="16" spans="1:21" x14ac:dyDescent="0.25">
      <c r="B16" s="3">
        <v>0.03</v>
      </c>
      <c r="C16" s="15" t="s">
        <v>115</v>
      </c>
      <c r="D16" s="92">
        <f>IF(VLOOKUP($C16,Mensual!$D$6:$G$135,2,0)&lt;0,0,VLOOKUP($C16,Mensual!$D$6:$G$135,2,0))</f>
        <v>0</v>
      </c>
      <c r="E16" s="92">
        <f>IF(VLOOKUP($C16,Mensual!$D$6:$G$163,3,0)&lt;0,0,VLOOKUP($C16,Mensual!$D$6:$G$163,3,0))</f>
        <v>3500</v>
      </c>
      <c r="F16" s="92">
        <f>IF(VLOOKUP($C16,Mensual!$D$6:$G$163,4,0)&lt;0,0,VLOOKUP($C16,Mensual!$D$6:$G$163,4,0))</f>
        <v>3165</v>
      </c>
      <c r="G16" s="93">
        <f>IF(VLOOKUP($C16,Mensual!$D$6:$H$163,5,0)&lt;0,0,VLOOKUP($C16,Mensual!$D$6:$H$163,5,0))</f>
        <v>0</v>
      </c>
      <c r="H16" s="93">
        <f t="shared" si="0"/>
        <v>0</v>
      </c>
      <c r="I16" s="94"/>
      <c r="J16" s="94"/>
      <c r="K16" s="94"/>
      <c r="L16" s="94"/>
      <c r="M16" s="1"/>
      <c r="N16" s="1"/>
      <c r="O16" s="1"/>
      <c r="P16" s="1"/>
      <c r="Q16" s="1"/>
      <c r="R16" s="1"/>
      <c r="S16" s="1"/>
    </row>
    <row r="17" spans="2:19" x14ac:dyDescent="0.25">
      <c r="B17" s="3">
        <v>0.03</v>
      </c>
      <c r="C17" s="15" t="s">
        <v>116</v>
      </c>
      <c r="D17" s="92">
        <f>IF(VLOOKUP($C17,Mensual!$D$6:$G$135,2,0)&lt;0,0,VLOOKUP($C17,Mensual!$D$6:$G$135,2,0))</f>
        <v>0</v>
      </c>
      <c r="E17" s="92">
        <f>IF(VLOOKUP($C17,Mensual!$D$6:$G$163,3,0)&lt;0,0,VLOOKUP($C17,Mensual!$D$6:$G$163,3,0))</f>
        <v>3500</v>
      </c>
      <c r="F17" s="92">
        <f>IF(VLOOKUP($C17,Mensual!$D$6:$G$163,4,0)&lt;0,0,VLOOKUP($C17,Mensual!$D$6:$G$163,4,0))</f>
        <v>2923</v>
      </c>
      <c r="G17" s="93">
        <f>IF(VLOOKUP($C17,Mensual!$D$6:$H$163,5,0)&lt;0,0,VLOOKUP($C17,Mensual!$D$6:$H$163,5,0))</f>
        <v>0</v>
      </c>
      <c r="H17" s="93">
        <f t="shared" si="0"/>
        <v>0</v>
      </c>
      <c r="I17" s="94"/>
      <c r="J17" s="94"/>
      <c r="K17" s="94"/>
      <c r="L17" s="94"/>
      <c r="M17" s="1"/>
      <c r="N17" s="1"/>
      <c r="O17" s="1"/>
      <c r="P17" s="1"/>
      <c r="Q17" s="1"/>
      <c r="R17" s="1"/>
      <c r="S17" s="1"/>
    </row>
    <row r="18" spans="2:19" x14ac:dyDescent="0.25">
      <c r="B18" s="3">
        <v>0.03</v>
      </c>
      <c r="C18" s="15" t="s">
        <v>117</v>
      </c>
      <c r="D18" s="92">
        <f>IF(VLOOKUP($C18,Mensual!$D$6:$G$135,2,0)&lt;0,0,VLOOKUP($C18,Mensual!$D$6:$G$135,2,0))</f>
        <v>0</v>
      </c>
      <c r="E18" s="92">
        <f>IF(VLOOKUP($C18,Mensual!$D$6:$G$163,3,0)&lt;0,0,VLOOKUP($C18,Mensual!$D$6:$G$163,3,0))</f>
        <v>3500</v>
      </c>
      <c r="F18" s="92">
        <f>IF(VLOOKUP($C18,Mensual!$D$6:$G$163,4,0)&lt;0,0,VLOOKUP($C18,Mensual!$D$6:$G$163,4,0))</f>
        <v>2234</v>
      </c>
      <c r="G18" s="93">
        <f>IF(VLOOKUP($C18,Mensual!$D$6:$H$163,5,0)&lt;0,0,VLOOKUP($C18,Mensual!$D$6:$H$163,5,0))</f>
        <v>0</v>
      </c>
      <c r="H18" s="93">
        <f t="shared" si="0"/>
        <v>0</v>
      </c>
      <c r="I18" s="94"/>
      <c r="J18" s="94"/>
      <c r="K18" s="94"/>
      <c r="L18" s="94"/>
      <c r="M18" s="1"/>
      <c r="N18" s="1"/>
      <c r="O18" s="1"/>
      <c r="P18" s="1"/>
      <c r="Q18" s="1"/>
      <c r="R18" s="1"/>
      <c r="S18" s="1"/>
    </row>
    <row r="19" spans="2:19" x14ac:dyDescent="0.25">
      <c r="B19" s="3">
        <v>0.03</v>
      </c>
      <c r="C19" s="15" t="s">
        <v>118</v>
      </c>
      <c r="D19" s="92">
        <f>IF(VLOOKUP($C19,Mensual!$D$6:$G$135,2,0)&lt;0,0,VLOOKUP($C19,Mensual!$D$6:$G$135,2,0))</f>
        <v>0</v>
      </c>
      <c r="E19" s="92">
        <f>IF(VLOOKUP($C19,Mensual!$D$6:$G$163,3,0)&lt;0,0,VLOOKUP($C19,Mensual!$D$6:$G$163,3,0))</f>
        <v>3500</v>
      </c>
      <c r="F19" s="92">
        <f>IF(VLOOKUP($C19,Mensual!$D$6:$G$163,4,0)&lt;0,0,VLOOKUP($C19,Mensual!$D$6:$G$163,4,0))</f>
        <v>1551</v>
      </c>
      <c r="G19" s="93">
        <f>IF(VLOOKUP($C19,Mensual!$D$6:$H$163,5,0)&lt;0,0,VLOOKUP($C19,Mensual!$D$6:$H$163,5,0))</f>
        <v>0</v>
      </c>
      <c r="H19" s="93">
        <f t="shared" si="0"/>
        <v>0</v>
      </c>
      <c r="I19" s="94"/>
      <c r="J19" s="94"/>
      <c r="K19" s="94"/>
      <c r="L19" s="94"/>
      <c r="M19" s="1"/>
      <c r="N19" s="1"/>
      <c r="O19" s="1"/>
      <c r="P19" s="1"/>
      <c r="Q19" s="1"/>
      <c r="R19" s="1"/>
      <c r="S19" s="1"/>
    </row>
    <row r="20" spans="2:19" x14ac:dyDescent="0.25">
      <c r="B20" s="3">
        <v>0.09</v>
      </c>
      <c r="C20" s="15" t="s">
        <v>119</v>
      </c>
      <c r="D20" s="92">
        <f>IF(VLOOKUP($C20,Mensual!$D$6:$G$135,2,0)&lt;0,0,VLOOKUP($C20,Mensual!$D$6:$G$135,2,0))</f>
        <v>0</v>
      </c>
      <c r="E20" s="92">
        <f>IF(VLOOKUP($C20,Mensual!$D$6:$G$163,3,0)&lt;0,0,VLOOKUP($C20,Mensual!$D$6:$G$163,3,0))</f>
        <v>0.1</v>
      </c>
      <c r="F20" s="92">
        <f>IF(VLOOKUP($C20,Mensual!$D$6:$G$163,4,0)&lt;0,0,VLOOKUP($C20,Mensual!$D$6:$G$163,4,0))</f>
        <v>1</v>
      </c>
      <c r="G20" s="93">
        <f>IF(VLOOKUP($C20,Mensual!$D$6:$H$163,5,0)&lt;0,0,VLOOKUP($C20,Mensual!$D$6:$H$163,5,0))</f>
        <v>1</v>
      </c>
      <c r="H20" s="93">
        <f t="shared" si="0"/>
        <v>0.09</v>
      </c>
      <c r="I20" s="94"/>
      <c r="J20" s="94"/>
      <c r="K20" s="94"/>
      <c r="L20" s="94"/>
      <c r="M20" s="1"/>
      <c r="N20" s="1"/>
      <c r="O20" s="1"/>
      <c r="P20" s="1"/>
      <c r="Q20" s="1"/>
      <c r="R20" s="1"/>
      <c r="S20" s="1"/>
    </row>
    <row r="21" spans="2:19" x14ac:dyDescent="0.25">
      <c r="B21" s="3">
        <v>0.03</v>
      </c>
      <c r="C21" s="15" t="s">
        <v>120</v>
      </c>
      <c r="D21" s="92" t="str">
        <f>IF(VLOOKUP($C21,Mensual!$D$6:$G$135,2,0)&lt;0,0,VLOOKUP($C21,Mensual!$D$6:$G$135,2,0))</f>
        <v>kms/viaje</v>
      </c>
      <c r="E21" s="93">
        <f>IF(VLOOKUP($C21,Mensual!$D$6:$G$163,3,0)&lt;0,0,VLOOKUP($C21,Mensual!$D$6:$G$163,3,0))</f>
        <v>0.1</v>
      </c>
      <c r="F21" s="93">
        <f>IF(VLOOKUP($C21,Mensual!$D$6:$G$163,4,0)&lt;0,0,VLOOKUP($C21,Mensual!$D$6:$G$163,4,0))</f>
        <v>0.25182481751825003</v>
      </c>
      <c r="G21" s="93">
        <f>IF(VLOOKUP($C21,Mensual!$D$6:$H$163,5,0)&lt;0,0,VLOOKUP($C21,Mensual!$D$6:$H$163,5,0))</f>
        <v>1</v>
      </c>
      <c r="H21" s="93">
        <f t="shared" si="0"/>
        <v>0.03</v>
      </c>
      <c r="I21" s="94"/>
      <c r="J21" s="94"/>
      <c r="K21" s="94"/>
      <c r="L21" s="94"/>
      <c r="M21" s="1"/>
      <c r="N21" s="1"/>
      <c r="O21" s="1"/>
      <c r="P21" s="1"/>
      <c r="Q21" s="1"/>
      <c r="R21" s="1"/>
      <c r="S21" s="1"/>
    </row>
    <row r="22" spans="2:19" x14ac:dyDescent="0.25">
      <c r="B22" s="3">
        <v>0.05</v>
      </c>
      <c r="C22" s="15" t="s">
        <v>44</v>
      </c>
      <c r="D22" s="92">
        <f>IF(VLOOKUP($C22,Mensual!$D$6:$G$135,2,0)&lt;0,0,VLOOKUP($C22,Mensual!$D$6:$G$135,2,0))</f>
        <v>0</v>
      </c>
      <c r="E22" s="93">
        <f>IF(VLOOKUP($C22,Mensual!$D$6:$G$163,3,0)&lt;0,0,VLOOKUP($C22,Mensual!$D$6:$G$163,3,0))</f>
        <v>0.1</v>
      </c>
      <c r="F22" s="93">
        <f>IF(VLOOKUP($C22,Mensual!$D$6:$G$163,4,0)&lt;0,0,VLOOKUP($C22,Mensual!$D$6:$G$163,4,0))</f>
        <v>0.1</v>
      </c>
      <c r="G22" s="93">
        <f>IF(VLOOKUP($C22,Mensual!$D$6:$H$163,5,0)&lt;0,0,VLOOKUP($C22,Mensual!$D$6:$H$163,5,0))</f>
        <v>1</v>
      </c>
      <c r="H22" s="93">
        <f t="shared" si="0"/>
        <v>0.05</v>
      </c>
      <c r="I22" s="94"/>
      <c r="J22" s="94"/>
      <c r="K22" s="94"/>
      <c r="L22" s="94"/>
      <c r="M22" s="1"/>
      <c r="N22" s="1"/>
      <c r="O22" s="1"/>
      <c r="P22" s="1"/>
      <c r="Q22" s="1"/>
      <c r="R22" s="1"/>
      <c r="S22" s="1"/>
    </row>
    <row r="23" spans="2:19" x14ac:dyDescent="0.25">
      <c r="B23" s="3">
        <v>0.09</v>
      </c>
      <c r="C23" s="15" t="s">
        <v>121</v>
      </c>
      <c r="D23" s="92" t="str">
        <f>IF(VLOOKUP($C23,Mensual!$D$6:$G$135,2,0)&lt;0,0,VLOOKUP($C23,Mensual!$D$6:$G$135,2,0))</f>
        <v xml:space="preserve">kms </v>
      </c>
      <c r="E23" s="105">
        <f>IF(VLOOKUP($C23,Mensual!$D$6:$G$163,3,0)&lt;0,0,VLOOKUP($C23,Mensual!$D$6:$G$163,3,0))</f>
        <v>506974.68</v>
      </c>
      <c r="F23" s="105">
        <f>IF(VLOOKUP($C23,Mensual!$D$6:$G$163,4,0)&lt;0,0,VLOOKUP($C23,Mensual!$D$6:$G$163,4,0))</f>
        <v>485973.6</v>
      </c>
      <c r="G23" s="93">
        <f>IF(VLOOKUP($C23,Mensual!$D$6:$H$163,5,0)&lt;0,0,VLOOKUP($C23,Mensual!$D$6:$H$163,5,0))</f>
        <v>0</v>
      </c>
      <c r="H23" s="93">
        <f t="shared" si="0"/>
        <v>0</v>
      </c>
      <c r="I23" s="94"/>
      <c r="J23" s="94"/>
      <c r="K23" s="94"/>
      <c r="L23" s="94"/>
      <c r="M23" s="1"/>
      <c r="N23" s="1"/>
      <c r="O23" s="1"/>
      <c r="P23" s="1"/>
      <c r="Q23" s="1"/>
      <c r="R23" s="1"/>
      <c r="S23" s="1"/>
    </row>
    <row r="24" spans="2:19" x14ac:dyDescent="0.25">
      <c r="B24" s="1">
        <f>SUM(B6:B23)</f>
        <v>1.0000000000000002</v>
      </c>
      <c r="C24" s="2"/>
      <c r="D24" s="1"/>
      <c r="E24" s="1"/>
      <c r="F24" s="1"/>
      <c r="G24" s="1"/>
      <c r="H24" s="35">
        <f>SUM(H6:H23)</f>
        <v>0.63325000000000009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2:19" x14ac:dyDescent="0.25">
      <c r="C25" s="2"/>
    </row>
    <row r="27" spans="2:19" x14ac:dyDescent="0.25">
      <c r="C27" s="95" t="s">
        <v>61</v>
      </c>
    </row>
    <row r="28" spans="2:19" x14ac:dyDescent="0.25">
      <c r="C28" s="96" t="s">
        <v>122</v>
      </c>
    </row>
    <row r="29" spans="2:19" x14ac:dyDescent="0.25">
      <c r="C29" s="96" t="s">
        <v>123</v>
      </c>
    </row>
    <row r="30" spans="2:19" x14ac:dyDescent="0.25">
      <c r="C30" s="96" t="s">
        <v>124</v>
      </c>
    </row>
    <row r="31" spans="2:19" x14ac:dyDescent="0.25">
      <c r="C31" s="96"/>
    </row>
    <row r="32" spans="2:19" x14ac:dyDescent="0.25">
      <c r="C32" s="96"/>
    </row>
  </sheetData>
  <mergeCells count="1">
    <mergeCell ref="D3:F3"/>
  </mergeCells>
  <dataValidations count="1">
    <dataValidation type="list" allowBlank="1" showInputMessage="1" showErrorMessage="1" sqref="C28:C32" xr:uid="{00000000-0002-0000-1600-000000000000}">
      <formula1>INDIRECT($D$3)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2000000}">
          <x14:formula1>
            <xm:f>Acumulado!$C$3:$C$131</xm:f>
          </x14:formula1>
          <xm:sqref>C7:C23</xm:sqref>
        </x14:dataValidation>
        <x14:dataValidation type="list" allowBlank="1" showInputMessage="1" showErrorMessage="1" xr:uid="{00000000-0002-0000-1600-000003000000}">
          <x14:formula1>
            <xm:f>Listados!$A$1:$L$1</xm:f>
          </x14:formula1>
          <xm:sqref>D3:F3</xm:sqref>
        </x14:dataValidation>
        <x14:dataValidation type="list" allowBlank="1" showInputMessage="1" showErrorMessage="1" xr:uid="{00000000-0002-0000-1600-000004000000}">
          <x14:formula1>
            <xm:f>Acumulado!$C$3:$C$661</xm:f>
          </x14:formula1>
          <xm:sqref>C6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F37C4-F99E-4CDC-801D-BFBEF59B59DE}">
  <dimension ref="A1:Q150"/>
  <sheetViews>
    <sheetView zoomScale="115" zoomScaleNormal="115" workbookViewId="0">
      <pane ySplit="6" topLeftCell="A137" activePane="bottomLeft" state="frozen"/>
      <selection pane="bottomLeft" activeCell="G105" sqref="G105"/>
    </sheetView>
  </sheetViews>
  <sheetFormatPr baseColWidth="10" defaultColWidth="11.42578125" defaultRowHeight="12.75" outlineLevelRow="1" x14ac:dyDescent="0.2"/>
  <cols>
    <col min="1" max="1" width="39.42578125" style="8" bestFit="1" customWidth="1"/>
    <col min="2" max="2" width="17.42578125" style="8" customWidth="1"/>
    <col min="3" max="4" width="12" style="8" customWidth="1"/>
    <col min="5" max="5" width="60.85546875" style="8" customWidth="1"/>
    <col min="6" max="6" width="13.7109375" style="8" customWidth="1"/>
    <col min="7" max="7" width="115.42578125" style="8" customWidth="1"/>
    <col min="8" max="8" width="21.85546875" style="8" bestFit="1" customWidth="1"/>
    <col min="9" max="9" width="24.28515625" style="8" customWidth="1"/>
    <col min="10" max="11" width="14.85546875" style="8" bestFit="1" customWidth="1"/>
    <col min="12" max="12" width="9.140625" style="8"/>
    <col min="13" max="13" width="15.85546875" style="8" bestFit="1" customWidth="1"/>
    <col min="14" max="14" width="15.85546875" style="8" customWidth="1"/>
    <col min="15" max="16384" width="11.42578125" style="8"/>
  </cols>
  <sheetData>
    <row r="1" spans="1:17" x14ac:dyDescent="0.2">
      <c r="A1" s="8" t="s">
        <v>125</v>
      </c>
      <c r="B1" s="8" t="s">
        <v>126</v>
      </c>
      <c r="G1" s="8" t="s">
        <v>127</v>
      </c>
    </row>
    <row r="2" spans="1:17" x14ac:dyDescent="0.2">
      <c r="B2" s="8" t="s">
        <v>128</v>
      </c>
      <c r="F2" s="193">
        <v>44197</v>
      </c>
      <c r="G2" s="8" t="s">
        <v>129</v>
      </c>
      <c r="I2" s="8" t="s">
        <v>130</v>
      </c>
    </row>
    <row r="3" spans="1:17" x14ac:dyDescent="0.2">
      <c r="B3" s="8" t="s">
        <v>131</v>
      </c>
      <c r="F3" s="8">
        <v>2021</v>
      </c>
      <c r="G3" s="8" t="s">
        <v>132</v>
      </c>
      <c r="I3" s="8">
        <v>2022</v>
      </c>
    </row>
    <row r="4" spans="1:17" x14ac:dyDescent="0.2">
      <c r="G4" s="8" t="s">
        <v>133</v>
      </c>
      <c r="I4" s="8">
        <v>1</v>
      </c>
      <c r="J4" s="8">
        <v>25</v>
      </c>
    </row>
    <row r="5" spans="1:17" s="47" customFormat="1" x14ac:dyDescent="0.2">
      <c r="A5" s="47" t="s">
        <v>134</v>
      </c>
      <c r="B5" s="43" t="s">
        <v>135</v>
      </c>
      <c r="C5" s="43" t="s">
        <v>136</v>
      </c>
      <c r="D5" s="43"/>
      <c r="E5" s="43" t="s">
        <v>137</v>
      </c>
      <c r="F5" s="43" t="s">
        <v>138</v>
      </c>
      <c r="G5" s="44" t="s">
        <v>139</v>
      </c>
      <c r="H5" s="44"/>
      <c r="I5" s="43" t="s">
        <v>140</v>
      </c>
      <c r="J5" s="45" t="s">
        <v>141</v>
      </c>
      <c r="K5" s="45" t="s">
        <v>142</v>
      </c>
      <c r="L5" s="45" t="s">
        <v>5</v>
      </c>
      <c r="M5" s="43" t="s">
        <v>143</v>
      </c>
      <c r="N5" s="46">
        <v>0</v>
      </c>
      <c r="O5" s="46">
        <v>0.25</v>
      </c>
      <c r="P5" s="46">
        <v>0.5</v>
      </c>
      <c r="Q5" s="46">
        <v>1</v>
      </c>
    </row>
    <row r="6" spans="1:17" s="168" customFormat="1" ht="15" x14ac:dyDescent="0.25">
      <c r="A6" s="195" t="s">
        <v>144</v>
      </c>
      <c r="B6" s="162">
        <v>41</v>
      </c>
      <c r="C6" s="162" t="s">
        <v>145</v>
      </c>
      <c r="D6" s="162"/>
      <c r="E6" s="162" t="s">
        <v>146</v>
      </c>
      <c r="F6" s="163">
        <v>0.32500000000000001</v>
      </c>
      <c r="G6" s="164" t="s">
        <v>147</v>
      </c>
      <c r="H6" s="164" t="s">
        <v>148</v>
      </c>
      <c r="I6" s="162" t="s">
        <v>149</v>
      </c>
      <c r="J6" s="165">
        <v>0.1</v>
      </c>
      <c r="K6" s="166">
        <v>0.2</v>
      </c>
      <c r="L6" s="166">
        <f>IF(K6&gt;(J6*1.1),1.1,IF(K6&lt;0,0,K6/J6))</f>
        <v>1.1000000000000001</v>
      </c>
      <c r="M6" s="167">
        <f>+L6*F6</f>
        <v>0.35750000000000004</v>
      </c>
      <c r="N6" s="167"/>
      <c r="O6" s="162"/>
      <c r="P6" s="162"/>
      <c r="Q6" s="162"/>
    </row>
    <row r="7" spans="1:17" s="168" customFormat="1" ht="12.75" customHeight="1" outlineLevel="1" x14ac:dyDescent="0.25">
      <c r="A7" s="195" t="s">
        <v>144</v>
      </c>
      <c r="B7" s="162">
        <v>410101</v>
      </c>
      <c r="C7" s="162" t="s">
        <v>145</v>
      </c>
      <c r="D7" s="162"/>
      <c r="E7" s="162" t="s">
        <v>150</v>
      </c>
      <c r="F7" s="163"/>
      <c r="G7" s="164" t="s">
        <v>151</v>
      </c>
      <c r="H7" s="196"/>
      <c r="I7" s="162"/>
      <c r="J7" s="165">
        <v>0.2</v>
      </c>
      <c r="K7" s="166">
        <v>-0.15</v>
      </c>
      <c r="L7" s="166">
        <f t="shared" ref="L7:L117" si="0">IF(K7&gt;J7,1,IF(K7&lt;0,0,K7/J7))</f>
        <v>0</v>
      </c>
      <c r="M7" s="167">
        <f>+L7*F7</f>
        <v>0</v>
      </c>
      <c r="N7" s="167"/>
      <c r="O7" s="162"/>
      <c r="P7" s="162"/>
      <c r="Q7" s="162"/>
    </row>
    <row r="8" spans="1:17" s="206" customFormat="1" ht="12.75" customHeight="1" outlineLevel="1" x14ac:dyDescent="0.25">
      <c r="A8" s="197" t="s">
        <v>144</v>
      </c>
      <c r="B8" s="198" t="s">
        <v>152</v>
      </c>
      <c r="C8" s="198" t="s">
        <v>145</v>
      </c>
      <c r="D8" s="198"/>
      <c r="E8" s="198" t="s">
        <v>153</v>
      </c>
      <c r="F8" s="199" t="s">
        <v>154</v>
      </c>
      <c r="G8" s="200" t="s">
        <v>155</v>
      </c>
      <c r="H8" s="201"/>
      <c r="I8" s="198"/>
      <c r="J8" s="202">
        <v>15</v>
      </c>
      <c r="K8" s="203">
        <v>1</v>
      </c>
      <c r="L8" s="204">
        <f>IF(K8&gt;J8,1,IF(K8&lt;0,0,K8/J8))</f>
        <v>6.6666666666666666E-2</v>
      </c>
      <c r="M8" s="205" t="e">
        <f>+L8*F8</f>
        <v>#VALUE!</v>
      </c>
      <c r="N8" s="205"/>
      <c r="O8" s="198"/>
      <c r="P8" s="198"/>
      <c r="Q8" s="198"/>
    </row>
    <row r="9" spans="1:17" s="148" customFormat="1" ht="12.75" customHeight="1" outlineLevel="1" x14ac:dyDescent="0.25">
      <c r="A9" s="195" t="s">
        <v>144</v>
      </c>
      <c r="B9" s="162">
        <v>410202</v>
      </c>
      <c r="C9" s="189" t="s">
        <v>145</v>
      </c>
      <c r="D9" s="189"/>
      <c r="E9" s="162" t="s">
        <v>156</v>
      </c>
      <c r="F9" s="190"/>
      <c r="G9" s="196" t="s">
        <v>157</v>
      </c>
      <c r="H9" s="192"/>
      <c r="I9" s="25" t="s">
        <v>158</v>
      </c>
      <c r="J9" s="151">
        <f>1000000/$J$4</f>
        <v>40000</v>
      </c>
      <c r="K9" s="151">
        <v>1800</v>
      </c>
      <c r="L9" s="146">
        <f>IF(K9&gt;J9,1,IF(K9&lt;0,0,K9/J9))</f>
        <v>4.4999999999999998E-2</v>
      </c>
      <c r="M9" s="147"/>
      <c r="N9" s="147"/>
      <c r="O9" s="25"/>
      <c r="P9" s="25"/>
      <c r="Q9" s="25"/>
    </row>
    <row r="10" spans="1:17" s="168" customFormat="1" ht="12.75" customHeight="1" outlineLevel="1" x14ac:dyDescent="0.25">
      <c r="A10" s="195" t="s">
        <v>144</v>
      </c>
      <c r="B10" s="162">
        <v>410108002</v>
      </c>
      <c r="C10" s="162" t="s">
        <v>145</v>
      </c>
      <c r="D10" s="162"/>
      <c r="E10" s="162" t="s">
        <v>159</v>
      </c>
      <c r="F10" s="163"/>
      <c r="G10" s="196" t="s">
        <v>160</v>
      </c>
      <c r="H10" s="196"/>
      <c r="I10" s="162" t="s">
        <v>158</v>
      </c>
      <c r="J10" s="207">
        <f>400000/$J$4</f>
        <v>16000</v>
      </c>
      <c r="K10" s="207">
        <v>0</v>
      </c>
      <c r="L10" s="166">
        <f t="shared" ref="L10:L12" si="1">IF(K10&gt;J10,1,IF(K10&lt;0,0,K10/J10))</f>
        <v>0</v>
      </c>
      <c r="M10" s="167"/>
      <c r="N10" s="167"/>
      <c r="O10" s="162"/>
      <c r="P10" s="162"/>
      <c r="Q10" s="162"/>
    </row>
    <row r="11" spans="1:17" s="168" customFormat="1" ht="12.75" customHeight="1" outlineLevel="1" x14ac:dyDescent="0.25">
      <c r="A11" s="195" t="s">
        <v>161</v>
      </c>
      <c r="B11" s="162">
        <v>410107001</v>
      </c>
      <c r="C11" s="162" t="s">
        <v>162</v>
      </c>
      <c r="D11" s="162"/>
      <c r="E11" s="162" t="s">
        <v>163</v>
      </c>
      <c r="F11" s="163"/>
      <c r="G11" s="164" t="s">
        <v>164</v>
      </c>
      <c r="H11" s="196"/>
      <c r="I11" s="162" t="s">
        <v>149</v>
      </c>
      <c r="J11" s="208">
        <v>0.2</v>
      </c>
      <c r="K11" s="208">
        <v>-0.37</v>
      </c>
      <c r="L11" s="166">
        <f t="shared" si="1"/>
        <v>0</v>
      </c>
      <c r="M11" s="167"/>
      <c r="N11" s="167"/>
      <c r="O11" s="162"/>
      <c r="P11" s="162"/>
      <c r="Q11" s="162"/>
    </row>
    <row r="12" spans="1:17" s="168" customFormat="1" ht="12.75" customHeight="1" outlineLevel="1" x14ac:dyDescent="0.25">
      <c r="A12" s="195" t="s">
        <v>144</v>
      </c>
      <c r="B12" s="194" t="s">
        <v>165</v>
      </c>
      <c r="C12" s="162" t="s">
        <v>145</v>
      </c>
      <c r="D12" s="162"/>
      <c r="E12" s="162" t="s">
        <v>166</v>
      </c>
      <c r="F12" s="163"/>
      <c r="G12" s="164" t="s">
        <v>167</v>
      </c>
      <c r="H12" s="196"/>
      <c r="I12" s="162" t="s">
        <v>149</v>
      </c>
      <c r="J12" s="208">
        <v>0.2</v>
      </c>
      <c r="K12" s="208">
        <v>0.45</v>
      </c>
      <c r="L12" s="166">
        <f t="shared" si="1"/>
        <v>1</v>
      </c>
      <c r="M12" s="167"/>
      <c r="N12" s="167" t="s">
        <v>168</v>
      </c>
      <c r="O12" s="162"/>
      <c r="P12" s="162"/>
      <c r="Q12" s="162"/>
    </row>
    <row r="13" spans="1:17" s="168" customFormat="1" ht="12.75" customHeight="1" outlineLevel="1" x14ac:dyDescent="0.2">
      <c r="A13" s="168" t="s">
        <v>169</v>
      </c>
      <c r="B13" s="162">
        <v>410203</v>
      </c>
      <c r="C13" s="162" t="s">
        <v>145</v>
      </c>
      <c r="D13" s="162"/>
      <c r="E13" s="162" t="s">
        <v>170</v>
      </c>
      <c r="F13" s="163"/>
      <c r="G13" s="164" t="s">
        <v>171</v>
      </c>
      <c r="H13" s="196"/>
      <c r="I13" s="162" t="s">
        <v>172</v>
      </c>
      <c r="J13" s="209">
        <v>0.05</v>
      </c>
      <c r="K13" s="209">
        <v>112588</v>
      </c>
      <c r="L13" s="166">
        <f t="shared" si="0"/>
        <v>1</v>
      </c>
      <c r="M13" s="167">
        <f t="shared" ref="M13:M128" si="2">+L13*F13</f>
        <v>0</v>
      </c>
      <c r="N13" s="167"/>
      <c r="O13" s="162"/>
      <c r="P13" s="162"/>
      <c r="Q13" s="162"/>
    </row>
    <row r="14" spans="1:17" s="168" customFormat="1" ht="12.75" customHeight="1" outlineLevel="1" x14ac:dyDescent="0.2">
      <c r="A14" s="168" t="s">
        <v>173</v>
      </c>
      <c r="B14" s="162">
        <v>41</v>
      </c>
      <c r="C14" s="162" t="s">
        <v>145</v>
      </c>
      <c r="D14" s="162"/>
      <c r="E14" s="162" t="s">
        <v>146</v>
      </c>
      <c r="F14" s="163"/>
      <c r="G14" s="164" t="s">
        <v>174</v>
      </c>
      <c r="H14" s="196"/>
      <c r="I14" s="162" t="s">
        <v>158</v>
      </c>
      <c r="J14" s="165">
        <v>0.15</v>
      </c>
      <c r="K14" s="166">
        <v>1.03</v>
      </c>
      <c r="L14" s="166">
        <f t="shared" si="0"/>
        <v>1</v>
      </c>
      <c r="M14" s="167">
        <f t="shared" si="2"/>
        <v>0</v>
      </c>
      <c r="N14" s="167"/>
      <c r="O14" s="162"/>
      <c r="P14" s="162"/>
      <c r="Q14" s="162"/>
    </row>
    <row r="15" spans="1:17" s="168" customFormat="1" ht="12.75" customHeight="1" outlineLevel="1" x14ac:dyDescent="0.2">
      <c r="A15" s="168" t="s">
        <v>169</v>
      </c>
      <c r="B15" s="162" t="s">
        <v>175</v>
      </c>
      <c r="C15" s="162" t="s">
        <v>145</v>
      </c>
      <c r="D15" s="162"/>
      <c r="E15" s="162" t="s">
        <v>176</v>
      </c>
      <c r="F15" s="163"/>
      <c r="G15" s="196" t="s">
        <v>177</v>
      </c>
      <c r="H15" s="196"/>
      <c r="I15" s="162" t="s">
        <v>178</v>
      </c>
      <c r="J15" s="209">
        <v>10</v>
      </c>
      <c r="K15" s="210">
        <v>0</v>
      </c>
      <c r="L15" s="166">
        <f t="shared" si="0"/>
        <v>0</v>
      </c>
      <c r="M15" s="167">
        <f t="shared" si="2"/>
        <v>0</v>
      </c>
      <c r="N15" s="167"/>
      <c r="O15" s="162"/>
      <c r="P15" s="162"/>
      <c r="Q15" s="162"/>
    </row>
    <row r="16" spans="1:17" s="168" customFormat="1" ht="12.75" customHeight="1" outlineLevel="1" x14ac:dyDescent="0.2">
      <c r="A16" s="168" t="s">
        <v>179</v>
      </c>
      <c r="B16" s="162" t="s">
        <v>180</v>
      </c>
      <c r="C16" s="162" t="s">
        <v>145</v>
      </c>
      <c r="D16" s="162"/>
      <c r="E16" s="162" t="s">
        <v>181</v>
      </c>
      <c r="F16" s="163"/>
      <c r="G16" s="196" t="s">
        <v>182</v>
      </c>
      <c r="H16" s="196"/>
      <c r="I16" s="162" t="s">
        <v>183</v>
      </c>
      <c r="J16" s="209">
        <v>10</v>
      </c>
      <c r="K16" s="210">
        <v>19</v>
      </c>
      <c r="L16" s="166">
        <f t="shared" si="0"/>
        <v>1</v>
      </c>
      <c r="M16" s="167">
        <f t="shared" si="2"/>
        <v>0</v>
      </c>
      <c r="N16" s="167"/>
      <c r="O16" s="162"/>
      <c r="P16" s="162"/>
      <c r="Q16" s="162"/>
    </row>
    <row r="17" spans="1:17" s="168" customFormat="1" ht="12.75" customHeight="1" outlineLevel="1" x14ac:dyDescent="0.2">
      <c r="A17" s="168" t="s">
        <v>169</v>
      </c>
      <c r="B17" s="162">
        <v>410201001</v>
      </c>
      <c r="C17" s="162" t="s">
        <v>145</v>
      </c>
      <c r="D17" s="162"/>
      <c r="E17" s="162" t="s">
        <v>184</v>
      </c>
      <c r="F17" s="163"/>
      <c r="G17" s="196" t="s">
        <v>185</v>
      </c>
      <c r="H17" s="196"/>
      <c r="I17" s="162" t="s">
        <v>158</v>
      </c>
      <c r="J17" s="207">
        <v>25000</v>
      </c>
      <c r="K17" s="211">
        <v>20092.400000000001</v>
      </c>
      <c r="L17" s="166">
        <f>IF(K17&gt;J17,1,IF(K17&lt;0,0,K17/J17))</f>
        <v>0.80369600000000008</v>
      </c>
      <c r="M17" s="167"/>
      <c r="N17" s="167"/>
      <c r="O17" s="162"/>
      <c r="P17" s="162"/>
      <c r="Q17" s="162"/>
    </row>
    <row r="18" spans="1:17" s="168" customFormat="1" ht="12.75" customHeight="1" outlineLevel="1" x14ac:dyDescent="0.25">
      <c r="A18" s="195" t="s">
        <v>144</v>
      </c>
      <c r="B18" s="162" t="s">
        <v>186</v>
      </c>
      <c r="C18" s="162" t="s">
        <v>145</v>
      </c>
      <c r="D18" s="162"/>
      <c r="E18" s="162" t="s">
        <v>187</v>
      </c>
      <c r="F18" s="163"/>
      <c r="G18" s="196" t="s">
        <v>188</v>
      </c>
      <c r="H18" s="196"/>
      <c r="I18" s="162" t="s">
        <v>189</v>
      </c>
      <c r="J18" s="165">
        <v>0.2</v>
      </c>
      <c r="K18" s="166">
        <v>-0.39</v>
      </c>
      <c r="L18" s="166">
        <f t="shared" si="0"/>
        <v>0</v>
      </c>
      <c r="M18" s="167"/>
      <c r="N18" s="167"/>
      <c r="O18" s="162"/>
      <c r="P18" s="162"/>
      <c r="Q18" s="162"/>
    </row>
    <row r="19" spans="1:17" s="168" customFormat="1" ht="12.75" customHeight="1" outlineLevel="1" x14ac:dyDescent="0.25">
      <c r="A19" s="195" t="s">
        <v>190</v>
      </c>
      <c r="B19" s="162">
        <v>4101105001</v>
      </c>
      <c r="C19" s="162" t="s">
        <v>145</v>
      </c>
      <c r="D19" s="162"/>
      <c r="E19" s="162" t="s">
        <v>191</v>
      </c>
      <c r="F19" s="163"/>
      <c r="G19" s="196" t="s">
        <v>192</v>
      </c>
      <c r="H19" s="196"/>
      <c r="I19" s="162"/>
      <c r="J19" s="165">
        <v>0.2</v>
      </c>
      <c r="K19" s="166">
        <v>0.3</v>
      </c>
      <c r="L19" s="166">
        <f t="shared" si="0"/>
        <v>1</v>
      </c>
      <c r="M19" s="167"/>
      <c r="N19" s="167" t="s">
        <v>193</v>
      </c>
      <c r="O19" s="162"/>
      <c r="P19" s="162"/>
      <c r="Q19" s="162"/>
    </row>
    <row r="20" spans="1:17" s="168" customFormat="1" ht="12.75" customHeight="1" outlineLevel="1" x14ac:dyDescent="0.25">
      <c r="A20" s="195" t="s">
        <v>190</v>
      </c>
      <c r="C20" s="162" t="s">
        <v>194</v>
      </c>
      <c r="E20" s="168" t="s">
        <v>195</v>
      </c>
      <c r="F20" s="163"/>
      <c r="G20" s="196" t="s">
        <v>196</v>
      </c>
      <c r="H20" s="196"/>
      <c r="I20" s="162" t="s">
        <v>197</v>
      </c>
      <c r="J20" s="165">
        <v>0.2</v>
      </c>
      <c r="K20" s="166">
        <v>-0.5</v>
      </c>
      <c r="L20" s="166">
        <f t="shared" si="0"/>
        <v>0</v>
      </c>
      <c r="M20" s="167"/>
      <c r="N20" s="167"/>
      <c r="O20" s="162"/>
      <c r="P20" s="162"/>
      <c r="Q20" s="162"/>
    </row>
    <row r="21" spans="1:17" s="168" customFormat="1" ht="12.75" customHeight="1" outlineLevel="1" x14ac:dyDescent="0.25">
      <c r="A21" s="195" t="s">
        <v>190</v>
      </c>
      <c r="B21" s="162">
        <v>4101105002</v>
      </c>
      <c r="C21" s="212"/>
      <c r="D21" s="212"/>
      <c r="E21" s="162" t="s">
        <v>127</v>
      </c>
      <c r="F21" s="163"/>
      <c r="G21" s="196" t="s">
        <v>198</v>
      </c>
      <c r="H21" s="196"/>
      <c r="I21" s="162"/>
      <c r="J21" s="165"/>
      <c r="K21" s="166"/>
      <c r="L21" s="166"/>
      <c r="M21" s="167"/>
      <c r="N21" s="167"/>
      <c r="O21" s="162"/>
      <c r="P21" s="162"/>
      <c r="Q21" s="162"/>
    </row>
    <row r="22" spans="1:17" s="213" customFormat="1" ht="12.75" customHeight="1" outlineLevel="1" x14ac:dyDescent="0.25">
      <c r="A22" s="195" t="s">
        <v>199</v>
      </c>
      <c r="B22" s="162"/>
      <c r="C22" s="162" t="s">
        <v>145</v>
      </c>
      <c r="D22" s="162"/>
      <c r="E22" s="162"/>
      <c r="F22" s="163"/>
      <c r="G22" s="196" t="s">
        <v>200</v>
      </c>
      <c r="H22" s="215"/>
      <c r="I22" s="214" t="s">
        <v>201</v>
      </c>
      <c r="J22" s="216">
        <v>1</v>
      </c>
      <c r="K22" s="217"/>
      <c r="L22" s="217"/>
      <c r="M22" s="218"/>
      <c r="N22" s="218"/>
      <c r="O22" s="214"/>
      <c r="P22" s="214"/>
      <c r="Q22" s="214"/>
    </row>
    <row r="23" spans="1:17" ht="12.75" customHeight="1" outlineLevel="1" x14ac:dyDescent="0.2">
      <c r="A23" s="168" t="s">
        <v>169</v>
      </c>
      <c r="B23" s="162"/>
      <c r="C23" s="162" t="s">
        <v>145</v>
      </c>
      <c r="D23" s="162"/>
      <c r="E23" s="162" t="s">
        <v>202</v>
      </c>
      <c r="F23" s="163"/>
      <c r="G23" s="196" t="s">
        <v>203</v>
      </c>
      <c r="H23" s="58"/>
      <c r="I23" s="16"/>
      <c r="J23" s="17"/>
      <c r="K23" s="19"/>
      <c r="L23" s="19"/>
      <c r="M23" s="20"/>
      <c r="N23" s="20"/>
      <c r="O23" s="16"/>
      <c r="P23" s="16"/>
      <c r="Q23" s="16"/>
    </row>
    <row r="24" spans="1:17" ht="12.75" customHeight="1" outlineLevel="1" x14ac:dyDescent="0.2">
      <c r="A24" s="168" t="s">
        <v>169</v>
      </c>
      <c r="B24" s="162"/>
      <c r="C24" s="162" t="s">
        <v>145</v>
      </c>
      <c r="D24" s="162"/>
      <c r="E24" s="162" t="s">
        <v>202</v>
      </c>
      <c r="F24" s="163"/>
      <c r="G24" s="196" t="s">
        <v>204</v>
      </c>
      <c r="H24" s="58"/>
      <c r="I24" s="16"/>
      <c r="J24" s="17"/>
      <c r="K24" s="19"/>
      <c r="L24" s="19"/>
      <c r="M24" s="20"/>
      <c r="N24" s="20"/>
      <c r="O24" s="16"/>
      <c r="P24" s="16"/>
      <c r="Q24" s="16"/>
    </row>
    <row r="25" spans="1:17" ht="12.75" customHeight="1" outlineLevel="1" x14ac:dyDescent="0.2">
      <c r="B25" s="16"/>
      <c r="C25" s="16"/>
      <c r="D25" s="16"/>
      <c r="E25" s="16"/>
      <c r="F25" s="18"/>
      <c r="G25" s="58"/>
      <c r="H25" s="58"/>
      <c r="I25" s="16"/>
      <c r="J25" s="17"/>
      <c r="K25" s="19"/>
      <c r="L25" s="19"/>
      <c r="M25" s="20"/>
      <c r="N25" s="20"/>
      <c r="O25" s="16"/>
      <c r="P25" s="16"/>
      <c r="Q25" s="16"/>
    </row>
    <row r="26" spans="1:17" s="148" customFormat="1" ht="15" x14ac:dyDescent="0.25">
      <c r="A26" s="195" t="s">
        <v>144</v>
      </c>
      <c r="B26" s="25"/>
      <c r="C26" s="25" t="s">
        <v>145</v>
      </c>
      <c r="D26" s="25"/>
      <c r="E26" s="25" t="s">
        <v>205</v>
      </c>
      <c r="F26" s="143">
        <v>0.27500000000000002</v>
      </c>
      <c r="G26" s="154" t="s">
        <v>206</v>
      </c>
      <c r="H26" s="154"/>
      <c r="I26" s="25"/>
      <c r="J26" s="145">
        <v>0.1</v>
      </c>
      <c r="K26" s="145">
        <v>0.1</v>
      </c>
      <c r="L26" s="146">
        <f t="shared" si="0"/>
        <v>1</v>
      </c>
      <c r="M26" s="147">
        <f t="shared" si="2"/>
        <v>0.27500000000000002</v>
      </c>
      <c r="N26" s="147">
        <v>0</v>
      </c>
      <c r="O26" s="155"/>
      <c r="P26" s="155"/>
      <c r="Q26" s="145"/>
    </row>
    <row r="27" spans="1:17" s="148" customFormat="1" ht="12.75" customHeight="1" outlineLevel="1" x14ac:dyDescent="0.25">
      <c r="A27" s="195" t="s">
        <v>144</v>
      </c>
      <c r="B27" s="25" t="s">
        <v>207</v>
      </c>
      <c r="C27" s="25" t="s">
        <v>145</v>
      </c>
      <c r="D27" s="25"/>
      <c r="E27" s="25" t="s">
        <v>208</v>
      </c>
      <c r="F27" s="143"/>
      <c r="G27" s="144" t="s">
        <v>19</v>
      </c>
      <c r="H27" s="144"/>
      <c r="I27" s="25" t="s">
        <v>172</v>
      </c>
      <c r="J27" s="145">
        <v>0.1</v>
      </c>
      <c r="K27" s="145">
        <v>0.32</v>
      </c>
      <c r="L27" s="146">
        <f t="shared" si="0"/>
        <v>1</v>
      </c>
      <c r="M27" s="147"/>
      <c r="N27" s="147"/>
      <c r="O27" s="25"/>
      <c r="P27" s="25"/>
      <c r="Q27" s="25"/>
    </row>
    <row r="28" spans="1:17" s="219" customFormat="1" ht="12.75" customHeight="1" outlineLevel="1" x14ac:dyDescent="0.2">
      <c r="A28" s="219" t="s">
        <v>209</v>
      </c>
      <c r="B28" s="220">
        <v>510102</v>
      </c>
      <c r="C28" s="220" t="s">
        <v>210</v>
      </c>
      <c r="D28" s="220"/>
      <c r="E28" s="220" t="s">
        <v>211</v>
      </c>
      <c r="F28" s="221"/>
      <c r="G28" s="222" t="s">
        <v>70</v>
      </c>
      <c r="H28" s="222"/>
      <c r="I28" s="220" t="s">
        <v>212</v>
      </c>
      <c r="J28" s="223">
        <v>0.05</v>
      </c>
      <c r="K28" s="224">
        <v>0.09</v>
      </c>
      <c r="L28" s="225">
        <f>IF(K28&gt;J28,0,IF(K28&lt;0,0,K28/J28))</f>
        <v>0</v>
      </c>
      <c r="M28" s="226"/>
      <c r="N28" s="226"/>
      <c r="O28" s="220"/>
      <c r="P28" s="220"/>
      <c r="Q28" s="220"/>
    </row>
    <row r="29" spans="1:17" s="219" customFormat="1" ht="12.75" customHeight="1" outlineLevel="1" x14ac:dyDescent="0.25">
      <c r="A29" s="219" t="s">
        <v>209</v>
      </c>
      <c r="B29" s="194" t="s">
        <v>213</v>
      </c>
      <c r="C29" s="220"/>
      <c r="D29" s="220"/>
      <c r="E29" s="220" t="s">
        <v>214</v>
      </c>
      <c r="F29" s="221"/>
      <c r="G29" s="222" t="s">
        <v>215</v>
      </c>
      <c r="H29" s="222"/>
      <c r="I29" s="220" t="s">
        <v>216</v>
      </c>
      <c r="J29" s="227">
        <v>0.25</v>
      </c>
      <c r="K29" s="221">
        <v>0.6</v>
      </c>
      <c r="L29" s="225">
        <f t="shared" si="0"/>
        <v>1</v>
      </c>
      <c r="M29" s="226"/>
      <c r="N29" s="226"/>
      <c r="O29" s="220"/>
      <c r="P29" s="220"/>
      <c r="Q29" s="220"/>
    </row>
    <row r="30" spans="1:17" ht="12.75" customHeight="1" outlineLevel="1" x14ac:dyDescent="0.2">
      <c r="B30" s="16"/>
      <c r="C30" s="16"/>
      <c r="D30" s="16"/>
      <c r="E30" s="220" t="s">
        <v>217</v>
      </c>
      <c r="F30" s="18"/>
      <c r="G30" s="58" t="s">
        <v>218</v>
      </c>
      <c r="H30" s="58"/>
      <c r="I30" s="16" t="s">
        <v>216</v>
      </c>
      <c r="J30" s="17">
        <v>0.05</v>
      </c>
      <c r="K30" s="18">
        <v>3.1899999999999998E-2</v>
      </c>
      <c r="L30" s="19">
        <f t="shared" si="0"/>
        <v>0.6379999999999999</v>
      </c>
      <c r="M30" s="20"/>
      <c r="N30" s="20"/>
      <c r="O30" s="16"/>
      <c r="P30" s="16"/>
      <c r="Q30" s="16"/>
    </row>
    <row r="31" spans="1:17" s="148" customFormat="1" ht="12.75" customHeight="1" outlineLevel="1" x14ac:dyDescent="0.2">
      <c r="A31" s="148" t="s">
        <v>209</v>
      </c>
      <c r="B31" s="25"/>
      <c r="C31" s="25" t="s">
        <v>145</v>
      </c>
      <c r="D31" s="25"/>
      <c r="E31" s="25" t="s">
        <v>219</v>
      </c>
      <c r="F31" s="143"/>
      <c r="G31" s="144" t="s">
        <v>220</v>
      </c>
      <c r="H31" s="144"/>
      <c r="I31" s="25" t="s">
        <v>172</v>
      </c>
      <c r="J31" s="145">
        <v>0.1</v>
      </c>
      <c r="K31" s="145">
        <v>-2.92</v>
      </c>
      <c r="L31" s="146">
        <f>IF(K31&gt;J31,1,IF(K31&lt;0,0,K31/J31))</f>
        <v>0</v>
      </c>
      <c r="M31" s="147"/>
      <c r="N31" s="147"/>
      <c r="O31" s="25"/>
      <c r="P31" s="25"/>
      <c r="Q31" s="25"/>
    </row>
    <row r="32" spans="1:17" s="228" customFormat="1" ht="12.75" customHeight="1" outlineLevel="1" x14ac:dyDescent="0.2">
      <c r="A32" s="228" t="s">
        <v>221</v>
      </c>
      <c r="B32" s="229"/>
      <c r="C32" s="229"/>
      <c r="D32" s="229"/>
      <c r="E32" s="229"/>
      <c r="F32" s="230"/>
      <c r="G32" s="231" t="s">
        <v>12</v>
      </c>
      <c r="H32" s="231"/>
      <c r="I32" s="229" t="s">
        <v>216</v>
      </c>
      <c r="J32" s="232">
        <v>0.2</v>
      </c>
      <c r="K32" s="229">
        <v>0</v>
      </c>
      <c r="L32" s="233">
        <f t="shared" si="0"/>
        <v>0</v>
      </c>
      <c r="M32" s="234"/>
      <c r="N32" s="234"/>
      <c r="O32" s="229"/>
      <c r="P32" s="229"/>
      <c r="Q32" s="229"/>
    </row>
    <row r="33" spans="1:17" s="123" customFormat="1" ht="12.75" customHeight="1" outlineLevel="1" x14ac:dyDescent="0.2">
      <c r="A33" s="123" t="s">
        <v>209</v>
      </c>
      <c r="B33" s="119"/>
      <c r="C33" s="119" t="s">
        <v>145</v>
      </c>
      <c r="D33" s="119"/>
      <c r="E33" s="119" t="s">
        <v>222</v>
      </c>
      <c r="F33" s="120"/>
      <c r="G33" s="121" t="s">
        <v>223</v>
      </c>
      <c r="H33" s="121"/>
      <c r="I33" s="119" t="s">
        <v>216</v>
      </c>
      <c r="J33" s="122">
        <v>0.2</v>
      </c>
      <c r="K33" s="119"/>
      <c r="L33" s="106">
        <f t="shared" si="0"/>
        <v>0</v>
      </c>
      <c r="M33" s="22"/>
      <c r="N33" s="22"/>
      <c r="O33" s="119"/>
      <c r="P33" s="119"/>
      <c r="Q33" s="119"/>
    </row>
    <row r="34" spans="1:17" s="123" customFormat="1" ht="12.75" customHeight="1" outlineLevel="1" x14ac:dyDescent="0.2">
      <c r="A34" s="123" t="s">
        <v>209</v>
      </c>
      <c r="B34" s="119"/>
      <c r="C34" s="119" t="s">
        <v>145</v>
      </c>
      <c r="D34" s="119"/>
      <c r="E34" s="119" t="s">
        <v>224</v>
      </c>
      <c r="F34" s="120"/>
      <c r="G34" s="121" t="s">
        <v>14</v>
      </c>
      <c r="H34" s="121"/>
      <c r="I34" s="119" t="s">
        <v>216</v>
      </c>
      <c r="J34" s="122">
        <v>0.2</v>
      </c>
      <c r="K34" s="119"/>
      <c r="L34" s="106">
        <f t="shared" si="0"/>
        <v>0</v>
      </c>
      <c r="M34" s="22"/>
      <c r="N34" s="22"/>
      <c r="O34" s="119"/>
      <c r="P34" s="119"/>
      <c r="Q34" s="119"/>
    </row>
    <row r="35" spans="1:17" ht="12.75" customHeight="1" outlineLevel="1" x14ac:dyDescent="0.25">
      <c r="A35" s="195" t="s">
        <v>144</v>
      </c>
      <c r="B35" s="16"/>
      <c r="C35" s="16"/>
      <c r="D35" s="16"/>
      <c r="E35" s="16" t="s">
        <v>225</v>
      </c>
      <c r="F35" s="18"/>
      <c r="G35" s="58" t="s">
        <v>79</v>
      </c>
      <c r="H35" s="58"/>
      <c r="I35" s="16"/>
      <c r="J35" s="17">
        <v>0.05</v>
      </c>
      <c r="K35" s="16"/>
      <c r="L35" s="19">
        <f t="shared" si="0"/>
        <v>0</v>
      </c>
      <c r="M35" s="20"/>
      <c r="N35" s="20" t="s">
        <v>226</v>
      </c>
      <c r="O35" s="16"/>
      <c r="P35" s="16"/>
      <c r="Q35" s="16"/>
    </row>
    <row r="36" spans="1:17" s="65" customFormat="1" ht="12.75" customHeight="1" outlineLevel="1" x14ac:dyDescent="0.25">
      <c r="A36" s="195" t="s">
        <v>144</v>
      </c>
      <c r="B36" s="21"/>
      <c r="C36" s="21"/>
      <c r="D36" s="21"/>
      <c r="E36" s="21" t="s">
        <v>227</v>
      </c>
      <c r="F36" s="61"/>
      <c r="G36" s="60" t="s">
        <v>228</v>
      </c>
      <c r="H36" s="60"/>
      <c r="I36" s="21" t="s">
        <v>229</v>
      </c>
      <c r="J36" s="62">
        <v>0.13500000000000001</v>
      </c>
      <c r="K36" s="21"/>
      <c r="L36" s="63">
        <f t="shared" si="0"/>
        <v>0</v>
      </c>
      <c r="M36" s="64">
        <f t="shared" si="2"/>
        <v>0</v>
      </c>
      <c r="N36" s="20" t="s">
        <v>230</v>
      </c>
      <c r="O36" s="21"/>
      <c r="P36" s="21"/>
      <c r="Q36" s="21"/>
    </row>
    <row r="37" spans="1:17" ht="12.75" customHeight="1" outlineLevel="1" x14ac:dyDescent="0.25">
      <c r="A37" s="195" t="s">
        <v>144</v>
      </c>
      <c r="B37" s="16"/>
      <c r="C37" s="16"/>
      <c r="D37" s="16"/>
      <c r="E37" s="16" t="s">
        <v>231</v>
      </c>
      <c r="F37" s="18"/>
      <c r="G37" s="58" t="s">
        <v>93</v>
      </c>
      <c r="H37" s="58"/>
      <c r="I37" s="16"/>
      <c r="J37" s="17">
        <v>0.1</v>
      </c>
      <c r="K37" s="16"/>
      <c r="L37" s="19">
        <f t="shared" si="0"/>
        <v>0</v>
      </c>
      <c r="M37" s="20">
        <f>+L37*F37</f>
        <v>0</v>
      </c>
      <c r="N37" s="20" t="s">
        <v>232</v>
      </c>
      <c r="O37" s="16"/>
      <c r="P37" s="16"/>
      <c r="Q37" s="16"/>
    </row>
    <row r="38" spans="1:17" s="148" customFormat="1" ht="12.75" customHeight="1" outlineLevel="1" x14ac:dyDescent="0.2">
      <c r="B38" s="25"/>
      <c r="C38" s="25"/>
      <c r="D38" s="25"/>
      <c r="E38" s="25" t="s">
        <v>233</v>
      </c>
      <c r="F38" s="143"/>
      <c r="G38" s="158" t="s">
        <v>48</v>
      </c>
      <c r="H38" s="158"/>
      <c r="I38" s="25" t="s">
        <v>216</v>
      </c>
      <c r="J38" s="159">
        <v>8</v>
      </c>
      <c r="K38" s="157">
        <v>4.71</v>
      </c>
      <c r="L38" s="146">
        <f>IF(K38&lt;J38,1,IF(K38&lt;0,0,K38/J38))</f>
        <v>1</v>
      </c>
      <c r="M38" s="147">
        <v>1</v>
      </c>
      <c r="N38" s="147"/>
      <c r="O38" s="25"/>
      <c r="P38" s="25"/>
      <c r="Q38" s="25"/>
    </row>
    <row r="39" spans="1:17" s="123" customFormat="1" ht="12.75" customHeight="1" outlineLevel="1" x14ac:dyDescent="0.2">
      <c r="B39" s="119"/>
      <c r="C39" s="119"/>
      <c r="D39" s="119"/>
      <c r="E39" s="119" t="s">
        <v>234</v>
      </c>
      <c r="F39" s="120"/>
      <c r="G39" s="121" t="s">
        <v>80</v>
      </c>
      <c r="H39" s="121"/>
      <c r="I39" s="119" t="s">
        <v>235</v>
      </c>
      <c r="J39" s="122">
        <v>0.1</v>
      </c>
      <c r="K39" s="119"/>
      <c r="L39" s="106">
        <f t="shared" si="0"/>
        <v>0</v>
      </c>
      <c r="N39" s="22"/>
      <c r="O39" s="119"/>
      <c r="P39" s="119"/>
      <c r="Q39" s="119"/>
    </row>
    <row r="40" spans="1:17" s="123" customFormat="1" ht="12.75" customHeight="1" outlineLevel="1" x14ac:dyDescent="0.25">
      <c r="A40" s="195" t="s">
        <v>144</v>
      </c>
      <c r="B40" s="119"/>
      <c r="C40" s="119" t="s">
        <v>145</v>
      </c>
      <c r="D40" s="119"/>
      <c r="E40" s="119" t="s">
        <v>236</v>
      </c>
      <c r="F40" s="120"/>
      <c r="G40" s="124" t="s">
        <v>81</v>
      </c>
      <c r="H40" s="124"/>
      <c r="I40" s="119" t="s">
        <v>235</v>
      </c>
      <c r="J40" s="122">
        <v>0.1</v>
      </c>
      <c r="K40" s="119"/>
      <c r="L40" s="106">
        <f t="shared" si="0"/>
        <v>0</v>
      </c>
      <c r="M40" s="22" t="s">
        <v>237</v>
      </c>
      <c r="N40" s="22"/>
      <c r="O40" s="119"/>
      <c r="P40" s="119"/>
      <c r="Q40" s="119"/>
    </row>
    <row r="41" spans="1:17" ht="12.75" customHeight="1" outlineLevel="1" x14ac:dyDescent="0.25">
      <c r="A41" s="195" t="s">
        <v>144</v>
      </c>
      <c r="B41" s="16"/>
      <c r="C41" s="16" t="s">
        <v>145</v>
      </c>
      <c r="D41" s="16"/>
      <c r="E41" s="16"/>
      <c r="F41" s="18"/>
      <c r="G41" s="58" t="s">
        <v>94</v>
      </c>
      <c r="H41" s="58"/>
      <c r="I41" s="16" t="s">
        <v>149</v>
      </c>
      <c r="J41" s="17">
        <v>0.1</v>
      </c>
      <c r="K41" s="16"/>
      <c r="L41" s="19"/>
      <c r="M41" s="20"/>
      <c r="N41" s="20"/>
      <c r="O41" s="16"/>
      <c r="P41" s="16"/>
      <c r="Q41" s="16"/>
    </row>
    <row r="42" spans="1:17" s="123" customFormat="1" ht="12.75" customHeight="1" outlineLevel="1" x14ac:dyDescent="0.2">
      <c r="B42" s="119"/>
      <c r="C42" s="119"/>
      <c r="D42" s="119"/>
      <c r="E42" s="119"/>
      <c r="F42" s="120"/>
      <c r="G42" s="124" t="s">
        <v>96</v>
      </c>
      <c r="H42" s="124"/>
      <c r="I42" s="119"/>
      <c r="J42" s="122"/>
      <c r="K42" s="119"/>
      <c r="L42" s="106"/>
      <c r="M42" s="22" t="s">
        <v>237</v>
      </c>
      <c r="N42" s="22"/>
      <c r="O42" s="119"/>
      <c r="P42" s="119"/>
      <c r="Q42" s="119"/>
    </row>
    <row r="43" spans="1:17" s="148" customFormat="1" ht="12.75" customHeight="1" outlineLevel="1" x14ac:dyDescent="0.2">
      <c r="A43" s="148" t="s">
        <v>238</v>
      </c>
      <c r="B43" s="25">
        <v>510105</v>
      </c>
      <c r="C43" s="25" t="s">
        <v>239</v>
      </c>
      <c r="D43" s="25"/>
      <c r="E43" s="25" t="s">
        <v>240</v>
      </c>
      <c r="F43" s="143"/>
      <c r="G43" s="160" t="s">
        <v>57</v>
      </c>
      <c r="H43" s="160"/>
      <c r="I43" s="25"/>
      <c r="J43" s="145">
        <v>-0.1</v>
      </c>
      <c r="K43" s="145">
        <v>0.14000000000000001</v>
      </c>
      <c r="L43" s="146">
        <f>IF(K43&lt;J43,1,IF(K43&lt;0,0,0))</f>
        <v>0</v>
      </c>
      <c r="M43" s="147"/>
      <c r="N43" s="147"/>
      <c r="O43" s="25"/>
      <c r="P43" s="25"/>
      <c r="Q43" s="25"/>
    </row>
    <row r="44" spans="1:17" s="113" customFormat="1" ht="12.75" customHeight="1" outlineLevel="1" x14ac:dyDescent="0.2">
      <c r="A44" s="123" t="s">
        <v>209</v>
      </c>
      <c r="B44" s="107"/>
      <c r="C44" s="107"/>
      <c r="D44" s="107"/>
      <c r="E44" s="107" t="s">
        <v>241</v>
      </c>
      <c r="F44" s="108"/>
      <c r="G44" s="125" t="s">
        <v>82</v>
      </c>
      <c r="H44" s="125"/>
      <c r="I44" s="107" t="s">
        <v>229</v>
      </c>
      <c r="J44" s="110">
        <v>0.1</v>
      </c>
      <c r="K44" s="110">
        <v>4.66</v>
      </c>
      <c r="L44" s="111">
        <f>IF(K44&lt;J44,1,IF(K44&lt;0,0,0))</f>
        <v>0</v>
      </c>
      <c r="M44" s="112"/>
      <c r="N44" s="112"/>
      <c r="O44" s="107"/>
      <c r="P44" s="107"/>
      <c r="Q44" s="107"/>
    </row>
    <row r="45" spans="1:17" s="148" customFormat="1" ht="12.75" customHeight="1" outlineLevel="1" x14ac:dyDescent="0.2">
      <c r="B45" s="25"/>
      <c r="C45" s="25"/>
      <c r="D45" s="25"/>
      <c r="E45" s="25" t="s">
        <v>242</v>
      </c>
      <c r="F45" s="143"/>
      <c r="G45" s="160" t="s">
        <v>243</v>
      </c>
      <c r="H45" s="160"/>
      <c r="I45" s="25" t="s">
        <v>229</v>
      </c>
      <c r="J45" s="145">
        <v>0.04</v>
      </c>
      <c r="K45" s="145">
        <v>7.0000000000000007E-2</v>
      </c>
      <c r="L45" s="146">
        <f>IF(K45&lt;J45,1,IF(K45&lt;0,0,0))</f>
        <v>0</v>
      </c>
      <c r="M45" s="147"/>
      <c r="N45" s="147"/>
      <c r="O45" s="25"/>
      <c r="P45" s="25"/>
      <c r="Q45" s="25"/>
    </row>
    <row r="46" spans="1:17" s="235" customFormat="1" ht="12" customHeight="1" outlineLevel="1" x14ac:dyDescent="0.2">
      <c r="A46" s="235" t="s">
        <v>244</v>
      </c>
      <c r="B46" s="189"/>
      <c r="C46" s="189"/>
      <c r="D46" s="189"/>
      <c r="E46" s="189" t="s">
        <v>245</v>
      </c>
      <c r="F46" s="190"/>
      <c r="G46" s="236" t="s">
        <v>106</v>
      </c>
      <c r="H46" s="236"/>
      <c r="I46" s="189"/>
      <c r="J46" s="237">
        <v>0.1</v>
      </c>
      <c r="K46" s="190">
        <v>-5.0000000000000001E-4</v>
      </c>
      <c r="L46" s="238">
        <f>IF(K46&gt;J46,1,IF(K46&lt;0,0,0))</f>
        <v>0</v>
      </c>
      <c r="M46" s="239"/>
      <c r="N46" s="239"/>
      <c r="O46" s="189"/>
      <c r="P46" s="189"/>
      <c r="Q46" s="189"/>
    </row>
    <row r="47" spans="1:17" s="235" customFormat="1" ht="12.75" customHeight="1" outlineLevel="1" x14ac:dyDescent="0.2">
      <c r="A47" s="235" t="s">
        <v>246</v>
      </c>
      <c r="B47" s="189"/>
      <c r="C47" s="189"/>
      <c r="D47" s="189"/>
      <c r="E47" s="240" t="s">
        <v>247</v>
      </c>
      <c r="F47" s="190"/>
      <c r="G47" s="236" t="s">
        <v>44</v>
      </c>
      <c r="H47" s="236"/>
      <c r="I47" s="189"/>
      <c r="J47" s="237">
        <v>0.1</v>
      </c>
      <c r="K47" s="237">
        <v>0.1</v>
      </c>
      <c r="L47" s="238">
        <v>1</v>
      </c>
      <c r="M47" s="239"/>
      <c r="N47" s="239"/>
      <c r="O47" s="189"/>
      <c r="P47" s="189"/>
      <c r="Q47" s="189"/>
    </row>
    <row r="48" spans="1:17" s="148" customFormat="1" ht="12.75" customHeight="1" outlineLevel="1" x14ac:dyDescent="0.2">
      <c r="A48" s="148" t="s">
        <v>248</v>
      </c>
      <c r="B48" s="25"/>
      <c r="C48" s="25"/>
      <c r="D48" s="25"/>
      <c r="E48" s="25" t="s">
        <v>249</v>
      </c>
      <c r="F48" s="143"/>
      <c r="G48" s="160" t="s">
        <v>62</v>
      </c>
      <c r="H48" s="160"/>
      <c r="I48" s="25"/>
      <c r="J48" s="145">
        <v>0.1</v>
      </c>
      <c r="K48" s="145">
        <v>0.1</v>
      </c>
      <c r="L48" s="146">
        <v>1</v>
      </c>
      <c r="M48" s="147"/>
      <c r="N48" s="147"/>
      <c r="O48" s="25"/>
      <c r="P48" s="25"/>
      <c r="Q48" s="25"/>
    </row>
    <row r="49" spans="2:17" s="148" customFormat="1" x14ac:dyDescent="0.2">
      <c r="B49" s="25">
        <v>3</v>
      </c>
      <c r="C49" s="25"/>
      <c r="D49" s="25"/>
      <c r="E49" s="25"/>
      <c r="F49" s="143">
        <v>0.05</v>
      </c>
      <c r="G49" s="154" t="s">
        <v>250</v>
      </c>
      <c r="H49" s="154"/>
      <c r="I49" s="25"/>
      <c r="J49" s="145">
        <v>1</v>
      </c>
      <c r="K49" s="145">
        <v>1</v>
      </c>
      <c r="L49" s="146">
        <f t="shared" si="0"/>
        <v>1</v>
      </c>
      <c r="M49" s="147">
        <f t="shared" si="2"/>
        <v>0.05</v>
      </c>
      <c r="N49" s="147" t="s">
        <v>251</v>
      </c>
      <c r="O49" s="25"/>
      <c r="P49" s="25"/>
      <c r="Q49" s="25">
        <v>0</v>
      </c>
    </row>
    <row r="50" spans="2:17" s="148" customFormat="1" ht="12.75" customHeight="1" outlineLevel="1" x14ac:dyDescent="0.2">
      <c r="B50" s="25"/>
      <c r="C50" s="25"/>
      <c r="D50" s="25"/>
      <c r="E50" s="25"/>
      <c r="F50" s="143"/>
      <c r="G50" s="144" t="s">
        <v>252</v>
      </c>
      <c r="H50" s="144"/>
      <c r="I50" s="25"/>
      <c r="J50" s="149">
        <v>0</v>
      </c>
      <c r="K50" s="149">
        <v>0</v>
      </c>
      <c r="L50" s="146">
        <v>1</v>
      </c>
      <c r="M50" s="147">
        <f t="shared" si="2"/>
        <v>0</v>
      </c>
      <c r="N50" s="147"/>
      <c r="O50" s="25"/>
      <c r="P50" s="25"/>
      <c r="Q50" s="25"/>
    </row>
    <row r="51" spans="2:17" s="148" customFormat="1" ht="12.75" customHeight="1" outlineLevel="1" x14ac:dyDescent="0.2">
      <c r="B51" s="25"/>
      <c r="C51" s="25"/>
      <c r="D51" s="25"/>
      <c r="E51" s="25"/>
      <c r="F51" s="143"/>
      <c r="G51" s="144" t="s">
        <v>253</v>
      </c>
      <c r="H51" s="144"/>
      <c r="I51" s="25"/>
      <c r="J51" s="161">
        <v>0</v>
      </c>
      <c r="K51" s="149">
        <v>0</v>
      </c>
      <c r="L51" s="146">
        <v>1</v>
      </c>
      <c r="M51" s="147">
        <f t="shared" si="2"/>
        <v>0</v>
      </c>
      <c r="N51" s="147"/>
      <c r="O51" s="25"/>
      <c r="P51" s="25"/>
      <c r="Q51" s="25"/>
    </row>
    <row r="52" spans="2:17" s="148" customFormat="1" ht="12.75" customHeight="1" outlineLevel="1" x14ac:dyDescent="0.2">
      <c r="B52" s="25"/>
      <c r="C52" s="25"/>
      <c r="D52" s="25"/>
      <c r="E52" s="25"/>
      <c r="F52" s="143"/>
      <c r="G52" s="144" t="s">
        <v>254</v>
      </c>
      <c r="H52" s="144"/>
      <c r="I52" s="25"/>
      <c r="J52" s="161">
        <v>0</v>
      </c>
      <c r="K52" s="149">
        <v>0</v>
      </c>
      <c r="L52" s="146">
        <v>1</v>
      </c>
      <c r="M52" s="147">
        <f t="shared" si="2"/>
        <v>0</v>
      </c>
      <c r="N52" s="147"/>
      <c r="O52" s="25"/>
      <c r="P52" s="25"/>
      <c r="Q52" s="25"/>
    </row>
    <row r="53" spans="2:17" s="148" customFormat="1" ht="12.75" customHeight="1" outlineLevel="1" x14ac:dyDescent="0.2">
      <c r="B53" s="25"/>
      <c r="C53" s="25"/>
      <c r="D53" s="25"/>
      <c r="E53" s="25"/>
      <c r="F53" s="143"/>
      <c r="G53" s="144" t="s">
        <v>406</v>
      </c>
      <c r="H53" s="144"/>
      <c r="I53" s="25"/>
      <c r="J53" s="161">
        <v>0</v>
      </c>
      <c r="K53" s="149">
        <v>0</v>
      </c>
      <c r="L53" s="146">
        <v>1</v>
      </c>
      <c r="M53" s="147">
        <f t="shared" si="2"/>
        <v>0</v>
      </c>
      <c r="N53" s="147"/>
      <c r="O53" s="25"/>
      <c r="P53" s="25"/>
      <c r="Q53" s="25"/>
    </row>
    <row r="54" spans="2:17" s="148" customFormat="1" ht="12.75" customHeight="1" outlineLevel="1" x14ac:dyDescent="0.2">
      <c r="B54" s="25"/>
      <c r="C54" s="25"/>
      <c r="D54" s="25"/>
      <c r="E54" s="25"/>
      <c r="F54" s="143"/>
      <c r="G54" s="144" t="s">
        <v>407</v>
      </c>
      <c r="H54" s="144"/>
      <c r="I54" s="25"/>
      <c r="J54" s="161">
        <v>0</v>
      </c>
      <c r="K54" s="145"/>
      <c r="L54" s="146">
        <v>1</v>
      </c>
      <c r="M54" s="147">
        <f t="shared" si="2"/>
        <v>0</v>
      </c>
      <c r="N54" s="147"/>
      <c r="O54" s="25"/>
      <c r="P54" s="25"/>
      <c r="Q54" s="25"/>
    </row>
    <row r="55" spans="2:17" s="148" customFormat="1" ht="12.75" customHeight="1" outlineLevel="1" x14ac:dyDescent="0.2">
      <c r="B55" s="25"/>
      <c r="C55" s="25"/>
      <c r="D55" s="25"/>
      <c r="E55" s="25"/>
      <c r="F55" s="143"/>
      <c r="G55" s="144" t="s">
        <v>30</v>
      </c>
      <c r="H55" s="144"/>
      <c r="I55" s="25" t="s">
        <v>256</v>
      </c>
      <c r="J55" s="149">
        <v>6</v>
      </c>
      <c r="K55" s="149">
        <v>6</v>
      </c>
      <c r="L55" s="146">
        <f>IF(K55&gt;J55,1,IF(K55&lt;0,0,K55/J55))</f>
        <v>1</v>
      </c>
      <c r="M55" s="147"/>
      <c r="N55" s="147"/>
      <c r="O55" s="25"/>
      <c r="P55" s="25"/>
      <c r="Q55" s="25"/>
    </row>
    <row r="56" spans="2:17" s="148" customFormat="1" ht="12.75" customHeight="1" outlineLevel="1" x14ac:dyDescent="0.2">
      <c r="B56" s="25"/>
      <c r="C56" s="25"/>
      <c r="D56" s="25"/>
      <c r="E56" s="25"/>
      <c r="F56" s="143"/>
      <c r="G56" s="144" t="s">
        <v>64</v>
      </c>
      <c r="H56" s="144"/>
      <c r="I56" s="25" t="s">
        <v>256</v>
      </c>
      <c r="J56" s="149">
        <v>1</v>
      </c>
      <c r="K56" s="149">
        <v>1</v>
      </c>
      <c r="L56" s="146">
        <f>IF(K56&gt;J56,1,IF(K56&lt;0,0,K56/J56))</f>
        <v>1</v>
      </c>
      <c r="M56" s="147"/>
      <c r="N56" s="147"/>
      <c r="O56" s="25"/>
      <c r="P56" s="25"/>
      <c r="Q56" s="25"/>
    </row>
    <row r="57" spans="2:17" s="148" customFormat="1" ht="12.75" customHeight="1" outlineLevel="1" x14ac:dyDescent="0.2">
      <c r="B57" s="25"/>
      <c r="C57" s="25"/>
      <c r="D57" s="25"/>
      <c r="E57" s="25"/>
      <c r="F57" s="143"/>
      <c r="G57" s="144" t="s">
        <v>58</v>
      </c>
      <c r="H57" s="144"/>
      <c r="I57" s="25"/>
      <c r="J57" s="145"/>
      <c r="K57" s="145"/>
      <c r="L57" s="146"/>
      <c r="M57" s="147"/>
      <c r="N57" s="147"/>
      <c r="O57" s="25"/>
      <c r="P57" s="25"/>
      <c r="Q57" s="25"/>
    </row>
    <row r="58" spans="2:17" s="168" customFormat="1" ht="12.75" customHeight="1" outlineLevel="1" x14ac:dyDescent="0.2">
      <c r="B58" s="162"/>
      <c r="C58" s="162"/>
      <c r="D58" s="162"/>
      <c r="E58" s="162"/>
      <c r="F58" s="163"/>
      <c r="G58" s="164" t="s">
        <v>105</v>
      </c>
      <c r="H58" s="164"/>
      <c r="I58" s="162" t="s">
        <v>229</v>
      </c>
      <c r="J58" s="165">
        <v>0.1</v>
      </c>
      <c r="K58" s="165">
        <v>0.06</v>
      </c>
      <c r="L58" s="166">
        <v>0</v>
      </c>
      <c r="M58" s="167"/>
      <c r="N58" s="167"/>
      <c r="O58" s="162"/>
      <c r="P58" s="162"/>
      <c r="Q58" s="162"/>
    </row>
    <row r="59" spans="2:17" ht="12.75" customHeight="1" outlineLevel="1" x14ac:dyDescent="0.2">
      <c r="B59" s="16"/>
      <c r="C59" s="16"/>
      <c r="D59" s="16"/>
      <c r="E59" s="16"/>
      <c r="F59" s="18"/>
      <c r="G59" s="58" t="s">
        <v>119</v>
      </c>
      <c r="H59" s="58"/>
      <c r="I59" s="16"/>
      <c r="J59" s="17">
        <v>0.1</v>
      </c>
      <c r="K59" s="17">
        <v>1</v>
      </c>
      <c r="L59" s="106">
        <v>1</v>
      </c>
      <c r="M59" s="20"/>
      <c r="N59" s="20"/>
      <c r="O59" s="16"/>
      <c r="P59" s="16"/>
      <c r="Q59" s="16"/>
    </row>
    <row r="60" spans="2:17" ht="12.75" customHeight="1" outlineLevel="1" x14ac:dyDescent="0.2">
      <c r="B60" s="16"/>
      <c r="C60" s="16"/>
      <c r="D60" s="16"/>
      <c r="E60" s="16"/>
      <c r="F60" s="18"/>
      <c r="G60" s="32" t="s">
        <v>109</v>
      </c>
      <c r="H60" s="32"/>
      <c r="I60" s="16"/>
      <c r="J60" s="50">
        <v>0.995</v>
      </c>
      <c r="K60" s="17">
        <v>1</v>
      </c>
      <c r="L60" s="19">
        <v>1</v>
      </c>
      <c r="M60" s="20"/>
      <c r="N60" s="20"/>
      <c r="O60" s="16"/>
      <c r="P60" s="16"/>
      <c r="Q60" s="16"/>
    </row>
    <row r="61" spans="2:17" x14ac:dyDescent="0.2">
      <c r="B61" s="16">
        <v>4</v>
      </c>
      <c r="C61" s="16"/>
      <c r="D61" s="16"/>
      <c r="E61" s="16"/>
      <c r="F61" s="18">
        <v>0.1</v>
      </c>
      <c r="G61" s="32" t="s">
        <v>18</v>
      </c>
      <c r="H61" s="32"/>
      <c r="I61" s="16"/>
      <c r="J61" s="17">
        <v>0.1</v>
      </c>
      <c r="K61" s="17">
        <v>0.1</v>
      </c>
      <c r="L61" s="19">
        <f t="shared" si="0"/>
        <v>1</v>
      </c>
      <c r="M61" s="20">
        <f t="shared" si="2"/>
        <v>0.1</v>
      </c>
      <c r="N61" s="20"/>
      <c r="O61" s="16"/>
      <c r="P61" s="16"/>
      <c r="Q61" s="16"/>
    </row>
    <row r="62" spans="2:17" hidden="1" x14ac:dyDescent="0.2">
      <c r="B62" s="16"/>
      <c r="C62" s="16"/>
      <c r="D62" s="16"/>
      <c r="E62" s="16"/>
      <c r="F62" s="18"/>
      <c r="G62" s="32"/>
      <c r="H62" s="32"/>
      <c r="I62" s="16"/>
      <c r="J62" s="17"/>
      <c r="K62" s="17"/>
      <c r="L62" s="19"/>
      <c r="M62" s="20"/>
      <c r="N62" s="20"/>
      <c r="O62" s="16"/>
      <c r="P62" s="16"/>
      <c r="Q62" s="16"/>
    </row>
    <row r="63" spans="2:17" hidden="1" x14ac:dyDescent="0.2">
      <c r="B63" s="16"/>
      <c r="C63" s="16"/>
      <c r="D63" s="16"/>
      <c r="E63" s="16"/>
      <c r="F63" s="18"/>
      <c r="G63" s="32">
        <v>0.5</v>
      </c>
      <c r="H63" s="32"/>
      <c r="I63" s="16"/>
      <c r="J63" s="17"/>
      <c r="K63" s="17"/>
      <c r="L63" s="19"/>
      <c r="M63" s="20"/>
      <c r="N63" s="20"/>
      <c r="O63" s="16"/>
      <c r="P63" s="16"/>
      <c r="Q63" s="16"/>
    </row>
    <row r="64" spans="2:17" hidden="1" x14ac:dyDescent="0.2">
      <c r="B64" s="16"/>
      <c r="C64" s="16"/>
      <c r="D64" s="16"/>
      <c r="E64" s="16"/>
      <c r="F64" s="18"/>
      <c r="G64" s="32"/>
      <c r="H64" s="32"/>
      <c r="I64" s="16"/>
      <c r="J64" s="17"/>
      <c r="K64" s="17"/>
      <c r="L64" s="19"/>
      <c r="M64" s="20"/>
      <c r="N64" s="20"/>
      <c r="O64" s="16"/>
      <c r="P64" s="16"/>
      <c r="Q64" s="16"/>
    </row>
    <row r="65" spans="2:17" hidden="1" x14ac:dyDescent="0.2">
      <c r="B65" s="16"/>
      <c r="C65" s="16"/>
      <c r="D65" s="16"/>
      <c r="E65" s="16"/>
      <c r="F65" s="18"/>
      <c r="G65" s="32"/>
      <c r="H65" s="32"/>
      <c r="I65" s="16"/>
      <c r="J65" s="17"/>
      <c r="K65" s="17"/>
      <c r="L65" s="19"/>
      <c r="M65" s="20"/>
      <c r="N65" s="20"/>
      <c r="O65" s="16"/>
      <c r="P65" s="16"/>
      <c r="Q65" s="16"/>
    </row>
    <row r="66" spans="2:17" s="103" customFormat="1" x14ac:dyDescent="0.2">
      <c r="B66" s="97">
        <v>5</v>
      </c>
      <c r="C66" s="97"/>
      <c r="D66" s="97"/>
      <c r="E66" s="97"/>
      <c r="F66" s="98">
        <v>0.1</v>
      </c>
      <c r="G66" s="99" t="s">
        <v>37</v>
      </c>
      <c r="H66" s="99"/>
      <c r="I66" s="97"/>
      <c r="J66" s="100">
        <v>3700</v>
      </c>
      <c r="K66" s="100">
        <v>3932</v>
      </c>
      <c r="L66" s="101">
        <f t="shared" si="0"/>
        <v>1</v>
      </c>
      <c r="M66" s="102">
        <f t="shared" si="2"/>
        <v>0.1</v>
      </c>
      <c r="N66" s="102" t="s">
        <v>257</v>
      </c>
      <c r="O66" s="97" t="s">
        <v>258</v>
      </c>
      <c r="P66" s="97" t="s">
        <v>259</v>
      </c>
      <c r="Q66" s="97" t="s">
        <v>260</v>
      </c>
    </row>
    <row r="67" spans="2:17" s="148" customFormat="1" ht="12.75" customHeight="1" outlineLevel="1" x14ac:dyDescent="0.2">
      <c r="B67" s="25"/>
      <c r="C67" s="25"/>
      <c r="D67" s="25"/>
      <c r="E67" s="25"/>
      <c r="F67" s="143"/>
      <c r="G67" s="144" t="s">
        <v>111</v>
      </c>
      <c r="H67" s="144"/>
      <c r="I67" s="25"/>
      <c r="J67" s="149">
        <f>+J66</f>
        <v>3700</v>
      </c>
      <c r="K67" s="149">
        <f>+K66</f>
        <v>3932</v>
      </c>
      <c r="L67" s="146">
        <f t="shared" si="0"/>
        <v>1</v>
      </c>
      <c r="M67" s="147"/>
      <c r="N67" s="147"/>
      <c r="O67" s="25"/>
      <c r="P67" s="25"/>
      <c r="Q67" s="25"/>
    </row>
    <row r="68" spans="2:17" s="148" customFormat="1" ht="12.75" customHeight="1" outlineLevel="1" x14ac:dyDescent="0.2">
      <c r="B68" s="25"/>
      <c r="C68" s="25"/>
      <c r="D68" s="25"/>
      <c r="E68" s="25"/>
      <c r="F68" s="143">
        <v>0.08</v>
      </c>
      <c r="G68" s="144" t="s">
        <v>261</v>
      </c>
      <c r="H68" s="144"/>
      <c r="I68" s="25"/>
      <c r="J68" s="25">
        <v>4500</v>
      </c>
      <c r="K68" s="25">
        <v>4782</v>
      </c>
      <c r="L68" s="146">
        <f t="shared" si="0"/>
        <v>1</v>
      </c>
      <c r="M68" s="147">
        <f t="shared" si="2"/>
        <v>0.08</v>
      </c>
      <c r="N68" s="147"/>
      <c r="O68" s="25"/>
      <c r="P68" s="25"/>
      <c r="Q68" s="25"/>
    </row>
    <row r="69" spans="2:17" s="148" customFormat="1" ht="12.75" customHeight="1" outlineLevel="1" x14ac:dyDescent="0.2">
      <c r="B69" s="25"/>
      <c r="C69" s="25"/>
      <c r="D69" s="25"/>
      <c r="E69" s="25"/>
      <c r="F69" s="143">
        <v>0.12</v>
      </c>
      <c r="G69" s="144" t="s">
        <v>60</v>
      </c>
      <c r="H69" s="144"/>
      <c r="I69" s="25"/>
      <c r="J69" s="25">
        <v>4000</v>
      </c>
      <c r="K69" s="25">
        <v>4268</v>
      </c>
      <c r="L69" s="146">
        <f>IF(K69&gt;J69,1,0)</f>
        <v>1</v>
      </c>
      <c r="M69" s="147">
        <f t="shared" si="2"/>
        <v>0.12</v>
      </c>
      <c r="N69" s="147"/>
      <c r="O69" s="25"/>
      <c r="P69" s="25"/>
      <c r="Q69" s="25"/>
    </row>
    <row r="70" spans="2:17" s="148" customFormat="1" ht="12.75" customHeight="1" outlineLevel="1" x14ac:dyDescent="0.2">
      <c r="B70" s="25"/>
      <c r="C70" s="25"/>
      <c r="D70" s="25"/>
      <c r="E70" s="25"/>
      <c r="F70" s="143">
        <v>0.1</v>
      </c>
      <c r="G70" s="144" t="s">
        <v>112</v>
      </c>
      <c r="H70" s="144"/>
      <c r="I70" s="25"/>
      <c r="J70" s="25">
        <v>3800</v>
      </c>
      <c r="K70" s="25">
        <v>3501</v>
      </c>
      <c r="L70" s="146">
        <f t="shared" ref="L70:L72" si="3">IF(K70&gt;J70,1,0)</f>
        <v>0</v>
      </c>
      <c r="M70" s="147">
        <f t="shared" si="2"/>
        <v>0</v>
      </c>
      <c r="N70" s="147"/>
      <c r="O70" s="25"/>
      <c r="P70" s="25"/>
      <c r="Q70" s="25"/>
    </row>
    <row r="71" spans="2:17" s="148" customFormat="1" ht="12.75" customHeight="1" outlineLevel="1" x14ac:dyDescent="0.2">
      <c r="B71" s="25"/>
      <c r="C71" s="25"/>
      <c r="D71" s="25"/>
      <c r="E71" s="25"/>
      <c r="F71" s="143">
        <v>0.7</v>
      </c>
      <c r="G71" s="144" t="s">
        <v>262</v>
      </c>
      <c r="H71" s="144"/>
      <c r="I71" s="25"/>
      <c r="J71" s="25">
        <v>3500</v>
      </c>
      <c r="K71" s="169">
        <v>2429</v>
      </c>
      <c r="L71" s="146">
        <f t="shared" si="3"/>
        <v>0</v>
      </c>
      <c r="M71" s="147">
        <f t="shared" si="2"/>
        <v>0</v>
      </c>
      <c r="N71" s="147" t="s">
        <v>263</v>
      </c>
      <c r="O71" s="25"/>
      <c r="P71" s="25"/>
      <c r="Q71" s="25"/>
    </row>
    <row r="72" spans="2:17" s="148" customFormat="1" ht="12.75" customHeight="1" outlineLevel="1" x14ac:dyDescent="0.2">
      <c r="B72" s="25"/>
      <c r="C72" s="25"/>
      <c r="D72" s="25"/>
      <c r="E72" s="25"/>
      <c r="F72" s="143"/>
      <c r="G72" s="144" t="s">
        <v>113</v>
      </c>
      <c r="H72" s="144"/>
      <c r="I72" s="25"/>
      <c r="J72" s="25">
        <f>+J71</f>
        <v>3500</v>
      </c>
      <c r="K72" s="25">
        <v>2144</v>
      </c>
      <c r="L72" s="146">
        <f t="shared" si="3"/>
        <v>0</v>
      </c>
      <c r="M72" s="147"/>
      <c r="N72" s="147"/>
      <c r="O72" s="25"/>
      <c r="P72" s="25"/>
      <c r="Q72" s="25"/>
    </row>
    <row r="73" spans="2:17" s="148" customFormat="1" ht="12.75" customHeight="1" outlineLevel="1" x14ac:dyDescent="0.2">
      <c r="B73" s="25"/>
      <c r="C73" s="25"/>
      <c r="D73" s="25"/>
      <c r="E73" s="25"/>
      <c r="F73" s="143"/>
      <c r="G73" s="144" t="s">
        <v>114</v>
      </c>
      <c r="H73" s="144"/>
      <c r="I73" s="25"/>
      <c r="J73" s="25">
        <f>+J71</f>
        <v>3500</v>
      </c>
      <c r="K73" s="25">
        <v>2560</v>
      </c>
      <c r="L73" s="146">
        <f>IF(K73&gt;J73,1,0)</f>
        <v>0</v>
      </c>
      <c r="M73" s="147"/>
      <c r="N73" s="147"/>
      <c r="O73" s="25"/>
      <c r="P73" s="25"/>
      <c r="Q73" s="25"/>
    </row>
    <row r="74" spans="2:17" s="148" customFormat="1" ht="12.75" customHeight="1" outlineLevel="1" x14ac:dyDescent="0.2">
      <c r="B74" s="25"/>
      <c r="C74" s="25"/>
      <c r="D74" s="25"/>
      <c r="E74" s="25"/>
      <c r="F74" s="143"/>
      <c r="G74" s="144" t="s">
        <v>116</v>
      </c>
      <c r="H74" s="144"/>
      <c r="I74" s="25"/>
      <c r="J74" s="25">
        <f>+J71</f>
        <v>3500</v>
      </c>
      <c r="K74" s="25">
        <v>2923</v>
      </c>
      <c r="L74" s="146">
        <f>IF(K74&gt;J74,1,0)</f>
        <v>0</v>
      </c>
      <c r="M74" s="147"/>
      <c r="N74" s="147"/>
      <c r="O74" s="25"/>
      <c r="P74" s="25"/>
      <c r="Q74" s="25"/>
    </row>
    <row r="75" spans="2:17" s="148" customFormat="1" ht="12.75" customHeight="1" outlineLevel="1" x14ac:dyDescent="0.2">
      <c r="B75" s="25"/>
      <c r="C75" s="25"/>
      <c r="D75" s="25"/>
      <c r="E75" s="25"/>
      <c r="F75" s="143"/>
      <c r="G75" s="144" t="s">
        <v>115</v>
      </c>
      <c r="H75" s="144"/>
      <c r="I75" s="25"/>
      <c r="J75" s="25">
        <f>+J71</f>
        <v>3500</v>
      </c>
      <c r="K75" s="25">
        <v>3165</v>
      </c>
      <c r="L75" s="146">
        <f t="shared" ref="L75:L79" si="4">IF(K75&gt;J75,1,0)</f>
        <v>0</v>
      </c>
      <c r="M75" s="147"/>
      <c r="N75" s="147"/>
      <c r="O75" s="25"/>
      <c r="P75" s="25"/>
      <c r="Q75" s="25"/>
    </row>
    <row r="76" spans="2:17" s="148" customFormat="1" ht="12.75" customHeight="1" outlineLevel="1" x14ac:dyDescent="0.2">
      <c r="B76" s="25"/>
      <c r="C76" s="25"/>
      <c r="D76" s="25"/>
      <c r="E76" s="25"/>
      <c r="F76" s="143"/>
      <c r="G76" s="144" t="s">
        <v>117</v>
      </c>
      <c r="H76" s="144"/>
      <c r="I76" s="25"/>
      <c r="J76" s="25">
        <f>+J71</f>
        <v>3500</v>
      </c>
      <c r="K76" s="25">
        <v>2234</v>
      </c>
      <c r="L76" s="146">
        <f t="shared" si="4"/>
        <v>0</v>
      </c>
      <c r="M76" s="147"/>
      <c r="N76" s="147"/>
      <c r="O76" s="25"/>
      <c r="P76" s="25"/>
      <c r="Q76" s="25"/>
    </row>
    <row r="77" spans="2:17" s="148" customFormat="1" ht="12.75" customHeight="1" outlineLevel="1" x14ac:dyDescent="0.2">
      <c r="B77" s="25"/>
      <c r="C77" s="25"/>
      <c r="D77" s="25"/>
      <c r="E77" s="25"/>
      <c r="F77" s="143"/>
      <c r="G77" s="144" t="s">
        <v>118</v>
      </c>
      <c r="H77" s="144"/>
      <c r="I77" s="25"/>
      <c r="J77" s="25">
        <f>+J72</f>
        <v>3500</v>
      </c>
      <c r="K77" s="25">
        <v>1551</v>
      </c>
      <c r="L77" s="146">
        <f t="shared" si="4"/>
        <v>0</v>
      </c>
      <c r="M77" s="147"/>
      <c r="N77" s="147"/>
      <c r="O77" s="25"/>
      <c r="P77" s="25"/>
      <c r="Q77" s="25"/>
    </row>
    <row r="78" spans="2:17" s="148" customFormat="1" ht="12.75" customHeight="1" outlineLevel="1" x14ac:dyDescent="0.2">
      <c r="B78" s="25"/>
      <c r="C78" s="25"/>
      <c r="D78" s="25"/>
      <c r="E78" s="25"/>
      <c r="F78" s="143"/>
      <c r="G78" s="144" t="s">
        <v>36</v>
      </c>
      <c r="H78" s="144"/>
      <c r="I78" s="25"/>
      <c r="J78" s="145">
        <v>0.9</v>
      </c>
      <c r="K78" s="145">
        <v>0.82</v>
      </c>
      <c r="L78" s="146">
        <f>IF(K78&gt;J78,1,K78/J78)</f>
        <v>0.91111111111111098</v>
      </c>
      <c r="M78" s="147"/>
      <c r="N78" s="147"/>
      <c r="O78" s="25"/>
      <c r="P78" s="25"/>
      <c r="Q78" s="25"/>
    </row>
    <row r="79" spans="2:17" s="148" customFormat="1" ht="12" customHeight="1" outlineLevel="1" x14ac:dyDescent="0.2">
      <c r="B79" s="25"/>
      <c r="C79" s="25"/>
      <c r="D79" s="25"/>
      <c r="E79" s="25"/>
      <c r="F79" s="143"/>
      <c r="G79" s="144" t="s">
        <v>45</v>
      </c>
      <c r="H79" s="144"/>
      <c r="I79" s="25"/>
      <c r="J79" s="149">
        <v>4</v>
      </c>
      <c r="K79" s="149">
        <v>6</v>
      </c>
      <c r="L79" s="146">
        <f t="shared" si="4"/>
        <v>1</v>
      </c>
      <c r="M79" s="147"/>
      <c r="N79" s="147"/>
      <c r="O79" s="25"/>
      <c r="P79" s="25"/>
      <c r="Q79" s="25"/>
    </row>
    <row r="80" spans="2:17" s="148" customFormat="1" ht="12.75" customHeight="1" outlineLevel="1" x14ac:dyDescent="0.2">
      <c r="B80" s="25"/>
      <c r="C80" s="25"/>
      <c r="D80" s="25"/>
      <c r="E80" s="25"/>
      <c r="F80" s="143"/>
      <c r="G80" s="144" t="s">
        <v>121</v>
      </c>
      <c r="H80" s="144"/>
      <c r="I80" s="25" t="s">
        <v>264</v>
      </c>
      <c r="J80" s="169">
        <f>(410915.3+434042.5)/2*1.2</f>
        <v>506974.68</v>
      </c>
      <c r="K80" s="149">
        <v>485973.6</v>
      </c>
      <c r="L80" s="146">
        <f>IF(K80&gt;J80,1,IF(K80&lt;0,0,K80/J80-1))</f>
        <v>-4.1424317285431278E-2</v>
      </c>
      <c r="M80" s="147"/>
      <c r="N80" s="147"/>
      <c r="O80" s="25"/>
      <c r="P80" s="25"/>
      <c r="Q80" s="25"/>
    </row>
    <row r="81" spans="2:17" ht="12.75" customHeight="1" outlineLevel="1" x14ac:dyDescent="0.2">
      <c r="B81" s="16"/>
      <c r="C81" s="16"/>
      <c r="D81" s="16"/>
      <c r="E81" s="16"/>
      <c r="F81" s="18"/>
      <c r="G81" s="58" t="s">
        <v>265</v>
      </c>
      <c r="H81" s="58"/>
      <c r="I81" s="16"/>
      <c r="J81" s="59">
        <v>100000</v>
      </c>
      <c r="K81" s="26"/>
      <c r="L81" s="19"/>
      <c r="M81" s="20"/>
      <c r="N81" s="20"/>
      <c r="O81" s="16"/>
      <c r="P81" s="16"/>
      <c r="Q81" s="16"/>
    </row>
    <row r="82" spans="2:17" ht="12.75" customHeight="1" outlineLevel="1" x14ac:dyDescent="0.2">
      <c r="B82" s="16"/>
      <c r="C82" s="16"/>
      <c r="D82" s="16"/>
      <c r="E82" s="16"/>
      <c r="F82" s="18"/>
      <c r="G82" s="58" t="s">
        <v>266</v>
      </c>
      <c r="H82" s="58"/>
      <c r="I82" s="16" t="s">
        <v>267</v>
      </c>
      <c r="J82" s="59">
        <v>100000</v>
      </c>
      <c r="K82" s="26"/>
      <c r="L82" s="19"/>
      <c r="M82" s="20"/>
      <c r="N82" s="20"/>
      <c r="O82" s="16"/>
      <c r="P82" s="16"/>
      <c r="Q82" s="16"/>
    </row>
    <row r="83" spans="2:17" ht="12.75" customHeight="1" outlineLevel="1" x14ac:dyDescent="0.2">
      <c r="B83" s="16"/>
      <c r="C83" s="16"/>
      <c r="D83" s="16"/>
      <c r="E83" s="16"/>
      <c r="F83" s="18"/>
      <c r="G83" s="58" t="s">
        <v>268</v>
      </c>
      <c r="H83" s="58"/>
      <c r="I83" s="16"/>
      <c r="J83" s="59">
        <v>100000</v>
      </c>
      <c r="K83" s="26"/>
      <c r="L83" s="19"/>
      <c r="M83" s="20"/>
      <c r="N83" s="20"/>
      <c r="O83" s="16"/>
      <c r="P83" s="16"/>
      <c r="Q83" s="16"/>
    </row>
    <row r="84" spans="2:17" ht="12.75" customHeight="1" outlineLevel="1" x14ac:dyDescent="0.2">
      <c r="B84" s="16"/>
      <c r="C84" s="16"/>
      <c r="D84" s="16"/>
      <c r="E84" s="16"/>
      <c r="F84" s="18"/>
      <c r="G84" s="58" t="s">
        <v>269</v>
      </c>
      <c r="H84" s="58"/>
      <c r="I84" s="16"/>
      <c r="J84" s="59">
        <v>100000</v>
      </c>
      <c r="K84" s="26"/>
      <c r="L84" s="19"/>
      <c r="M84" s="20"/>
      <c r="N84" s="20"/>
      <c r="O84" s="16"/>
      <c r="P84" s="16"/>
      <c r="Q84" s="16"/>
    </row>
    <row r="85" spans="2:17" ht="12.75" customHeight="1" outlineLevel="1" x14ac:dyDescent="0.2">
      <c r="B85" s="16"/>
      <c r="C85" s="16"/>
      <c r="D85" s="16"/>
      <c r="E85" s="16"/>
      <c r="F85" s="18"/>
      <c r="G85" s="58" t="s">
        <v>270</v>
      </c>
      <c r="H85" s="58"/>
      <c r="I85" s="16"/>
      <c r="J85" s="59">
        <v>100000</v>
      </c>
      <c r="K85" s="26"/>
      <c r="L85" s="19"/>
      <c r="M85" s="20"/>
      <c r="N85" s="20"/>
      <c r="O85" s="16"/>
      <c r="P85" s="16"/>
      <c r="Q85" s="16"/>
    </row>
    <row r="86" spans="2:17" ht="12.75" customHeight="1" outlineLevel="1" x14ac:dyDescent="0.2">
      <c r="B86" s="16"/>
      <c r="C86" s="16"/>
      <c r="D86" s="16"/>
      <c r="E86" s="16"/>
      <c r="F86" s="18"/>
      <c r="G86" s="58" t="s">
        <v>271</v>
      </c>
      <c r="H86" s="58"/>
      <c r="I86" s="16" t="s">
        <v>264</v>
      </c>
      <c r="J86" s="26">
        <v>0.2</v>
      </c>
      <c r="K86" s="26"/>
      <c r="L86" s="19"/>
      <c r="M86" s="20"/>
      <c r="N86" s="20"/>
      <c r="O86" s="16"/>
      <c r="P86" s="16"/>
      <c r="Q86" s="16"/>
    </row>
    <row r="87" spans="2:17" s="148" customFormat="1" ht="12.75" customHeight="1" outlineLevel="1" x14ac:dyDescent="0.2">
      <c r="B87" s="25"/>
      <c r="C87" s="25"/>
      <c r="D87" s="25"/>
      <c r="E87" s="25"/>
      <c r="F87" s="143"/>
      <c r="G87" s="144" t="s">
        <v>59</v>
      </c>
      <c r="H87" s="144"/>
      <c r="I87" s="25" t="s">
        <v>264</v>
      </c>
      <c r="J87" s="149">
        <v>0.2</v>
      </c>
      <c r="K87" s="149">
        <v>0</v>
      </c>
      <c r="L87" s="146">
        <f>IF(K87&gt;J87,0,IF(K87&lt;0,0,K87/J87))</f>
        <v>0</v>
      </c>
      <c r="M87" s="147"/>
      <c r="N87" s="147"/>
      <c r="O87" s="25"/>
      <c r="P87" s="25"/>
      <c r="Q87" s="25"/>
    </row>
    <row r="88" spans="2:17" s="148" customFormat="1" ht="12.75" customHeight="1" outlineLevel="1" x14ac:dyDescent="0.2">
      <c r="B88" s="25"/>
      <c r="C88" s="25"/>
      <c r="D88" s="25"/>
      <c r="E88" s="25"/>
      <c r="F88" s="143"/>
      <c r="G88" s="144" t="s">
        <v>83</v>
      </c>
      <c r="H88" s="144"/>
      <c r="I88" s="25" t="s">
        <v>272</v>
      </c>
      <c r="J88" s="149">
        <v>1</v>
      </c>
      <c r="K88" s="149">
        <v>0</v>
      </c>
      <c r="L88" s="146">
        <v>1</v>
      </c>
      <c r="M88" s="147"/>
      <c r="N88" s="147"/>
      <c r="O88" s="25"/>
      <c r="P88" s="25"/>
      <c r="Q88" s="25"/>
    </row>
    <row r="89" spans="2:17" s="148" customFormat="1" ht="12.75" customHeight="1" outlineLevel="1" x14ac:dyDescent="0.2">
      <c r="B89" s="25"/>
      <c r="C89" s="25"/>
      <c r="D89" s="25"/>
      <c r="E89" s="25"/>
      <c r="F89" s="143"/>
      <c r="G89" s="144" t="s">
        <v>110</v>
      </c>
      <c r="H89" s="144"/>
      <c r="I89" s="170" t="s">
        <v>273</v>
      </c>
      <c r="J89" s="149">
        <v>0.2</v>
      </c>
      <c r="K89" s="149">
        <v>-0.32</v>
      </c>
      <c r="L89" s="146">
        <v>0</v>
      </c>
      <c r="M89" s="171">
        <f>+J89/1.2</f>
        <v>0.16666666666666669</v>
      </c>
      <c r="N89" s="147">
        <v>0.2</v>
      </c>
      <c r="O89" s="25"/>
      <c r="P89" s="25"/>
      <c r="Q89" s="25"/>
    </row>
    <row r="90" spans="2:17" ht="12.75" customHeight="1" outlineLevel="1" x14ac:dyDescent="0.2">
      <c r="B90" s="16"/>
      <c r="C90" s="16"/>
      <c r="D90" s="16"/>
      <c r="E90" s="16"/>
      <c r="F90" s="18"/>
      <c r="G90" s="67" t="s">
        <v>274</v>
      </c>
      <c r="H90" s="67"/>
      <c r="I90" s="49" t="s">
        <v>273</v>
      </c>
      <c r="J90" s="26"/>
      <c r="K90" s="26"/>
      <c r="L90" s="19"/>
      <c r="M90" s="20"/>
      <c r="N90" s="20"/>
      <c r="O90" s="16"/>
      <c r="P90" s="16"/>
      <c r="Q90" s="16"/>
    </row>
    <row r="91" spans="2:17" ht="12.75" customHeight="1" outlineLevel="1" x14ac:dyDescent="0.2">
      <c r="B91" s="16"/>
      <c r="C91" s="16"/>
      <c r="D91" s="16"/>
      <c r="E91" s="16"/>
      <c r="F91" s="18"/>
      <c r="G91" s="67" t="s">
        <v>275</v>
      </c>
      <c r="H91" s="67"/>
      <c r="I91" s="49" t="s">
        <v>273</v>
      </c>
      <c r="J91" s="26"/>
      <c r="K91" s="26"/>
      <c r="L91" s="19"/>
      <c r="M91" s="20"/>
      <c r="N91" s="20"/>
      <c r="O91" s="16"/>
      <c r="P91" s="16"/>
      <c r="Q91" s="16"/>
    </row>
    <row r="92" spans="2:17" ht="12.75" customHeight="1" outlineLevel="1" x14ac:dyDescent="0.2">
      <c r="B92" s="16"/>
      <c r="C92" s="16"/>
      <c r="D92" s="16"/>
      <c r="E92" s="16"/>
      <c r="F92" s="18"/>
      <c r="G92" s="67" t="s">
        <v>276</v>
      </c>
      <c r="H92" s="67"/>
      <c r="I92" s="49" t="s">
        <v>273</v>
      </c>
      <c r="J92" s="26"/>
      <c r="K92" s="26"/>
      <c r="L92" s="19"/>
      <c r="M92" s="20"/>
      <c r="N92" s="20"/>
      <c r="O92" s="16"/>
      <c r="P92" s="16"/>
      <c r="Q92" s="16"/>
    </row>
    <row r="93" spans="2:17" ht="12.75" customHeight="1" outlineLevel="1" x14ac:dyDescent="0.2">
      <c r="B93" s="16"/>
      <c r="C93" s="16"/>
      <c r="D93" s="16"/>
      <c r="E93" s="16"/>
      <c r="F93" s="18"/>
      <c r="G93" s="67" t="s">
        <v>277</v>
      </c>
      <c r="H93" s="67"/>
      <c r="I93" s="49" t="s">
        <v>273</v>
      </c>
      <c r="J93" s="26"/>
      <c r="K93" s="26"/>
      <c r="L93" s="19"/>
      <c r="M93" s="20"/>
      <c r="N93" s="20"/>
      <c r="O93" s="16"/>
      <c r="P93" s="16"/>
      <c r="Q93" s="16"/>
    </row>
    <row r="94" spans="2:17" ht="12.75" customHeight="1" outlineLevel="1" x14ac:dyDescent="0.2">
      <c r="B94" s="16"/>
      <c r="C94" s="16"/>
      <c r="D94" s="16"/>
      <c r="E94" s="16"/>
      <c r="F94" s="18"/>
      <c r="G94" s="67" t="s">
        <v>278</v>
      </c>
      <c r="H94" s="67"/>
      <c r="I94" s="49" t="s">
        <v>273</v>
      </c>
      <c r="J94" s="26"/>
      <c r="K94" s="26"/>
      <c r="L94" s="19"/>
      <c r="M94" s="20"/>
      <c r="N94" s="20"/>
      <c r="O94" s="16"/>
      <c r="P94" s="16"/>
      <c r="Q94" s="16"/>
    </row>
    <row r="95" spans="2:17" ht="12.75" customHeight="1" outlineLevel="1" x14ac:dyDescent="0.2">
      <c r="B95" s="16"/>
      <c r="C95" s="16"/>
      <c r="D95" s="16"/>
      <c r="E95" s="16"/>
      <c r="F95" s="18"/>
      <c r="G95" s="32" t="s">
        <v>120</v>
      </c>
      <c r="H95" s="32"/>
      <c r="I95" s="16" t="s">
        <v>279</v>
      </c>
      <c r="J95" s="57">
        <v>0.1</v>
      </c>
      <c r="K95" s="26">
        <f>+(1.25182481751825)-1</f>
        <v>0.25182481751825003</v>
      </c>
      <c r="L95" s="101">
        <f t="shared" si="0"/>
        <v>1</v>
      </c>
      <c r="M95" s="20"/>
      <c r="N95" s="20"/>
      <c r="O95" s="16"/>
      <c r="P95" s="16"/>
      <c r="Q95" s="16"/>
    </row>
    <row r="96" spans="2:17" s="65" customFormat="1" ht="12.75" customHeight="1" outlineLevel="1" x14ac:dyDescent="0.2">
      <c r="B96" s="21"/>
      <c r="C96" s="21"/>
      <c r="D96" s="21"/>
      <c r="E96" s="21"/>
      <c r="F96" s="61"/>
      <c r="G96" s="60" t="s">
        <v>280</v>
      </c>
      <c r="H96" s="60"/>
      <c r="I96" s="21" t="s">
        <v>149</v>
      </c>
      <c r="J96" s="68">
        <v>0.9</v>
      </c>
      <c r="K96" s="69"/>
      <c r="L96" s="63"/>
      <c r="M96" s="64"/>
      <c r="N96" s="64"/>
      <c r="O96" s="21"/>
      <c r="P96" s="21"/>
      <c r="Q96" s="21"/>
    </row>
    <row r="97" spans="1:17" ht="12.75" customHeight="1" outlineLevel="1" x14ac:dyDescent="0.2">
      <c r="B97" s="16"/>
      <c r="C97" s="16"/>
      <c r="D97" s="16"/>
      <c r="E97" s="16"/>
      <c r="F97" s="18"/>
      <c r="G97" s="58" t="s">
        <v>95</v>
      </c>
      <c r="H97" s="58"/>
      <c r="I97" s="16"/>
      <c r="J97" s="57">
        <v>0</v>
      </c>
      <c r="K97" s="26">
        <v>0</v>
      </c>
      <c r="L97" s="19">
        <v>1</v>
      </c>
      <c r="M97" s="20"/>
      <c r="N97" s="20"/>
      <c r="O97" s="16"/>
      <c r="P97" s="16"/>
      <c r="Q97" s="16"/>
    </row>
    <row r="98" spans="1:17" s="113" customFormat="1" ht="12.75" customHeight="1" outlineLevel="1" x14ac:dyDescent="0.2">
      <c r="B98" s="107"/>
      <c r="C98" s="107"/>
      <c r="D98" s="107"/>
      <c r="E98" s="107"/>
      <c r="F98" s="108"/>
      <c r="G98" s="109" t="s">
        <v>66</v>
      </c>
      <c r="H98" s="109"/>
      <c r="I98" s="107" t="s">
        <v>281</v>
      </c>
      <c r="J98" s="117"/>
      <c r="K98" s="115"/>
      <c r="L98" s="111"/>
      <c r="M98" s="112"/>
      <c r="N98" s="112"/>
      <c r="O98" s="107"/>
      <c r="P98" s="107"/>
      <c r="Q98" s="107"/>
    </row>
    <row r="99" spans="1:17" ht="12.75" customHeight="1" outlineLevel="1" x14ac:dyDescent="0.2">
      <c r="B99" s="16"/>
      <c r="C99" s="16"/>
      <c r="D99" s="16"/>
      <c r="E99" s="16"/>
      <c r="F99" s="18"/>
      <c r="G99" s="32"/>
      <c r="H99" s="32"/>
      <c r="I99" s="16"/>
      <c r="J99" s="57"/>
      <c r="K99" s="26"/>
      <c r="L99" s="19"/>
      <c r="M99" s="20"/>
      <c r="N99" s="20"/>
      <c r="O99" s="16"/>
      <c r="P99" s="16"/>
      <c r="Q99" s="16"/>
    </row>
    <row r="100" spans="1:17" ht="15" x14ac:dyDescent="0.25">
      <c r="A100" s="195" t="s">
        <v>144</v>
      </c>
      <c r="B100" s="16">
        <v>6</v>
      </c>
      <c r="C100" s="16"/>
      <c r="D100" s="16"/>
      <c r="E100" s="16" t="s">
        <v>282</v>
      </c>
      <c r="F100" s="17">
        <v>0.05</v>
      </c>
      <c r="G100" s="32" t="s">
        <v>29</v>
      </c>
      <c r="H100" s="32"/>
      <c r="I100" s="16"/>
      <c r="J100" s="17">
        <v>0.05</v>
      </c>
      <c r="K100" s="17">
        <v>1</v>
      </c>
      <c r="L100" s="19">
        <f t="shared" si="0"/>
        <v>1</v>
      </c>
      <c r="M100" s="20">
        <f t="shared" si="2"/>
        <v>0.05</v>
      </c>
      <c r="N100" s="20"/>
      <c r="O100" s="16"/>
      <c r="P100" s="16"/>
      <c r="Q100" s="16"/>
    </row>
    <row r="101" spans="1:17" ht="12.75" customHeight="1" outlineLevel="1" x14ac:dyDescent="0.2">
      <c r="B101" s="16"/>
      <c r="C101" s="16"/>
      <c r="D101" s="16"/>
      <c r="E101" s="16"/>
      <c r="F101" s="17"/>
      <c r="G101" s="32" t="s">
        <v>21</v>
      </c>
      <c r="H101" s="32"/>
      <c r="I101" s="16"/>
      <c r="J101" s="17">
        <v>0.05</v>
      </c>
      <c r="K101" s="16"/>
      <c r="L101" s="19">
        <f t="shared" si="0"/>
        <v>0</v>
      </c>
      <c r="M101" s="20">
        <f t="shared" si="2"/>
        <v>0</v>
      </c>
      <c r="N101" s="20"/>
      <c r="O101" s="16"/>
      <c r="P101" s="16"/>
      <c r="Q101" s="16"/>
    </row>
    <row r="102" spans="1:17" s="148" customFormat="1" ht="12.75" customHeight="1" outlineLevel="1" x14ac:dyDescent="0.2">
      <c r="B102" s="25"/>
      <c r="C102" s="25"/>
      <c r="D102" s="25"/>
      <c r="E102" s="25"/>
      <c r="F102" s="145"/>
      <c r="G102" s="154" t="s">
        <v>26</v>
      </c>
      <c r="H102" s="154"/>
      <c r="I102" s="172" t="s">
        <v>172</v>
      </c>
      <c r="J102" s="173">
        <v>0.05</v>
      </c>
      <c r="K102" s="145">
        <v>0.05</v>
      </c>
      <c r="L102" s="146">
        <f t="shared" si="0"/>
        <v>1</v>
      </c>
      <c r="M102" s="147">
        <f t="shared" si="2"/>
        <v>0</v>
      </c>
      <c r="N102" s="147"/>
      <c r="O102" s="25"/>
      <c r="P102" s="25"/>
      <c r="Q102" s="25"/>
    </row>
    <row r="103" spans="1:17" s="148" customFormat="1" ht="12.75" customHeight="1" outlineLevel="1" x14ac:dyDescent="0.2">
      <c r="B103" s="25"/>
      <c r="C103" s="25"/>
      <c r="D103" s="25"/>
      <c r="E103" s="25"/>
      <c r="F103" s="145"/>
      <c r="G103" s="174" t="s">
        <v>84</v>
      </c>
      <c r="H103" s="174"/>
      <c r="I103" s="175" t="s">
        <v>283</v>
      </c>
      <c r="J103" s="150">
        <v>30</v>
      </c>
      <c r="K103" s="25">
        <v>45</v>
      </c>
      <c r="L103" s="146">
        <f t="shared" ref="L103:L104" si="5">IF(K103&gt;J103,0,IF(K103&lt;0,0,K103/J103))</f>
        <v>0</v>
      </c>
      <c r="M103" s="147"/>
      <c r="N103" s="147"/>
      <c r="O103" s="25"/>
      <c r="P103" s="25"/>
      <c r="Q103" s="25"/>
    </row>
    <row r="104" spans="1:17" s="148" customFormat="1" ht="12.75" customHeight="1" outlineLevel="1" x14ac:dyDescent="0.2">
      <c r="B104" s="25"/>
      <c r="C104" s="25"/>
      <c r="D104" s="25"/>
      <c r="E104" s="25"/>
      <c r="F104" s="145"/>
      <c r="G104" s="174" t="s">
        <v>97</v>
      </c>
      <c r="H104" s="174"/>
      <c r="I104" s="175" t="s">
        <v>283</v>
      </c>
      <c r="J104" s="150">
        <v>6</v>
      </c>
      <c r="K104" s="25">
        <v>7</v>
      </c>
      <c r="L104" s="146">
        <f t="shared" si="5"/>
        <v>0</v>
      </c>
      <c r="M104" s="147"/>
      <c r="N104" s="147"/>
      <c r="O104" s="25"/>
      <c r="P104" s="25"/>
      <c r="Q104" s="25"/>
    </row>
    <row r="105" spans="1:17" s="148" customFormat="1" ht="12.75" customHeight="1" outlineLevel="1" x14ac:dyDescent="0.2">
      <c r="B105" s="25"/>
      <c r="C105" s="25"/>
      <c r="D105" s="25"/>
      <c r="E105" s="25"/>
      <c r="F105" s="145"/>
      <c r="G105" s="154" t="s">
        <v>284</v>
      </c>
      <c r="H105" s="154"/>
      <c r="I105" s="25"/>
      <c r="J105" s="25">
        <v>1</v>
      </c>
      <c r="K105" s="25">
        <v>2</v>
      </c>
      <c r="L105" s="146">
        <f>IF(K105&gt;J105,0,IF(K105&lt;0,0,K105/J105))</f>
        <v>0</v>
      </c>
      <c r="M105" s="147"/>
      <c r="N105" s="147"/>
      <c r="O105" s="25"/>
      <c r="P105" s="25"/>
      <c r="Q105" s="25"/>
    </row>
    <row r="106" spans="1:17" s="148" customFormat="1" ht="34.5" customHeight="1" outlineLevel="1" x14ac:dyDescent="0.2">
      <c r="B106" s="25"/>
      <c r="C106" s="25"/>
      <c r="D106" s="25"/>
      <c r="E106" s="25"/>
      <c r="F106" s="145"/>
      <c r="G106" s="154" t="s">
        <v>85</v>
      </c>
      <c r="H106" s="154"/>
      <c r="I106" s="25" t="s">
        <v>285</v>
      </c>
      <c r="J106" s="25">
        <v>1</v>
      </c>
      <c r="K106" s="25">
        <v>44</v>
      </c>
      <c r="L106" s="146">
        <f>IF(K106&gt;J106,0,IF(K106&lt;0,0,K106/J106))</f>
        <v>0</v>
      </c>
      <c r="M106" s="147" t="s">
        <v>172</v>
      </c>
      <c r="N106" s="147" t="s">
        <v>286</v>
      </c>
      <c r="O106" s="25"/>
      <c r="P106" s="25"/>
      <c r="Q106" s="25"/>
    </row>
    <row r="107" spans="1:17" s="148" customFormat="1" ht="9.75" customHeight="1" outlineLevel="1" x14ac:dyDescent="0.2">
      <c r="B107" s="25"/>
      <c r="C107" s="25"/>
      <c r="D107" s="25"/>
      <c r="E107" s="25"/>
      <c r="F107" s="145"/>
      <c r="G107" s="154" t="s">
        <v>27</v>
      </c>
      <c r="H107" s="154"/>
      <c r="I107" s="25" t="s">
        <v>287</v>
      </c>
      <c r="J107" s="25">
        <v>1</v>
      </c>
      <c r="K107" s="25">
        <v>1</v>
      </c>
      <c r="L107" s="146">
        <v>0</v>
      </c>
      <c r="M107" s="147">
        <v>1</v>
      </c>
      <c r="N107" s="147"/>
      <c r="O107" s="25"/>
      <c r="P107" s="25"/>
      <c r="Q107" s="25"/>
    </row>
    <row r="108" spans="1:17" ht="15" x14ac:dyDescent="0.25">
      <c r="A108" s="195" t="s">
        <v>144</v>
      </c>
      <c r="B108" s="16">
        <v>7</v>
      </c>
      <c r="C108" s="16"/>
      <c r="D108" s="16"/>
      <c r="E108" s="16" t="s">
        <v>288</v>
      </c>
      <c r="F108" s="17">
        <v>0.05</v>
      </c>
      <c r="G108" s="32" t="s">
        <v>28</v>
      </c>
      <c r="H108" s="32"/>
      <c r="I108" s="16"/>
      <c r="J108" s="17">
        <v>0.05</v>
      </c>
      <c r="K108" s="17">
        <v>0.05</v>
      </c>
      <c r="L108" s="19">
        <f t="shared" si="0"/>
        <v>1</v>
      </c>
      <c r="M108" s="20">
        <f t="shared" si="2"/>
        <v>0.05</v>
      </c>
      <c r="N108" s="20"/>
      <c r="O108" s="16"/>
      <c r="P108" s="16"/>
      <c r="Q108" s="16"/>
    </row>
    <row r="109" spans="1:17" s="65" customFormat="1" ht="12.75" customHeight="1" outlineLevel="1" x14ac:dyDescent="0.2">
      <c r="B109" s="21"/>
      <c r="C109" s="21"/>
      <c r="D109" s="21"/>
      <c r="E109" s="21"/>
      <c r="F109" s="66"/>
      <c r="G109" s="70" t="s">
        <v>22</v>
      </c>
      <c r="H109" s="70"/>
      <c r="I109" s="21"/>
      <c r="J109" s="66">
        <v>0.1</v>
      </c>
      <c r="K109" s="21"/>
      <c r="L109" s="63">
        <f t="shared" si="0"/>
        <v>0</v>
      </c>
      <c r="M109" s="64">
        <f t="shared" si="2"/>
        <v>0</v>
      </c>
      <c r="N109" s="64"/>
      <c r="O109" s="21"/>
      <c r="P109" s="21"/>
      <c r="Q109" s="21"/>
    </row>
    <row r="110" spans="1:17" s="65" customFormat="1" ht="12.75" customHeight="1" outlineLevel="1" x14ac:dyDescent="0.2">
      <c r="B110" s="21"/>
      <c r="C110" s="21"/>
      <c r="D110" s="21"/>
      <c r="E110" s="21"/>
      <c r="F110" s="66"/>
      <c r="G110" s="70" t="s">
        <v>23</v>
      </c>
      <c r="H110" s="70"/>
      <c r="I110" s="21"/>
      <c r="J110" s="66">
        <v>0.2</v>
      </c>
      <c r="K110" s="21"/>
      <c r="L110" s="63">
        <f t="shared" si="0"/>
        <v>0</v>
      </c>
      <c r="M110" s="64">
        <f t="shared" si="2"/>
        <v>0</v>
      </c>
      <c r="N110" s="64"/>
      <c r="O110" s="21"/>
      <c r="P110" s="21"/>
      <c r="Q110" s="21"/>
    </row>
    <row r="111" spans="1:17" ht="12.75" customHeight="1" outlineLevel="1" x14ac:dyDescent="0.2">
      <c r="B111" s="16"/>
      <c r="C111" s="16"/>
      <c r="D111" s="16"/>
      <c r="E111" s="16"/>
      <c r="F111" s="17"/>
      <c r="G111" s="32">
        <v>7.3</v>
      </c>
      <c r="H111" s="32"/>
      <c r="I111" s="16"/>
      <c r="J111" s="16"/>
      <c r="K111" s="16"/>
      <c r="L111" s="19" t="e">
        <f t="shared" si="0"/>
        <v>#DIV/0!</v>
      </c>
      <c r="M111" s="20" t="e">
        <f t="shared" si="2"/>
        <v>#DIV/0!</v>
      </c>
      <c r="N111" s="20"/>
      <c r="O111" s="16"/>
      <c r="P111" s="16"/>
      <c r="Q111" s="16"/>
    </row>
    <row r="112" spans="1:17" ht="12.75" customHeight="1" outlineLevel="1" x14ac:dyDescent="0.2">
      <c r="B112" s="16"/>
      <c r="C112" s="16"/>
      <c r="D112" s="16"/>
      <c r="E112" s="16"/>
      <c r="F112" s="17"/>
      <c r="G112" s="32"/>
      <c r="H112" s="32"/>
      <c r="I112" s="16"/>
      <c r="J112" s="16"/>
      <c r="K112" s="16"/>
      <c r="L112" s="19"/>
      <c r="M112" s="20"/>
      <c r="N112" s="20"/>
      <c r="O112" s="16"/>
      <c r="P112" s="16"/>
      <c r="Q112" s="16"/>
    </row>
    <row r="113" spans="2:17" ht="12.75" customHeight="1" outlineLevel="1" x14ac:dyDescent="0.2">
      <c r="B113" s="16"/>
      <c r="C113" s="16"/>
      <c r="D113" s="16"/>
      <c r="E113" s="16"/>
      <c r="F113" s="17"/>
      <c r="G113" s="32"/>
      <c r="H113" s="32"/>
      <c r="I113" s="16"/>
      <c r="J113" s="16"/>
      <c r="K113" s="16"/>
      <c r="L113" s="19"/>
      <c r="M113" s="20"/>
      <c r="N113" s="20"/>
      <c r="O113" s="16"/>
      <c r="P113" s="16"/>
      <c r="Q113" s="16"/>
    </row>
    <row r="114" spans="2:17" ht="12.75" customHeight="1" outlineLevel="1" x14ac:dyDescent="0.2">
      <c r="B114" s="16"/>
      <c r="C114" s="16"/>
      <c r="D114" s="16"/>
      <c r="E114" s="16"/>
      <c r="F114" s="17"/>
      <c r="G114" s="32"/>
      <c r="H114" s="32"/>
      <c r="I114" s="16"/>
      <c r="J114" s="16"/>
      <c r="K114" s="16"/>
      <c r="L114" s="19"/>
      <c r="M114" s="20"/>
      <c r="N114" s="20"/>
      <c r="O114" s="16"/>
      <c r="P114" s="16"/>
      <c r="Q114" s="16"/>
    </row>
    <row r="115" spans="2:17" ht="12.75" customHeight="1" outlineLevel="1" x14ac:dyDescent="0.2">
      <c r="B115" s="16"/>
      <c r="C115" s="16"/>
      <c r="D115" s="16"/>
      <c r="E115" s="16"/>
      <c r="F115" s="17"/>
      <c r="G115" s="32"/>
      <c r="H115" s="32"/>
      <c r="I115" s="16"/>
      <c r="J115" s="16"/>
      <c r="K115" s="16"/>
      <c r="L115" s="19"/>
      <c r="M115" s="20"/>
      <c r="N115" s="20"/>
      <c r="O115" s="16"/>
      <c r="P115" s="16"/>
      <c r="Q115" s="16"/>
    </row>
    <row r="116" spans="2:17" ht="12.75" customHeight="1" outlineLevel="1" x14ac:dyDescent="0.2">
      <c r="B116" s="16"/>
      <c r="C116" s="16"/>
      <c r="D116" s="16"/>
      <c r="E116" s="16"/>
      <c r="F116" s="17"/>
      <c r="G116" s="32"/>
      <c r="H116" s="32"/>
      <c r="I116" s="16"/>
      <c r="J116" s="16"/>
      <c r="K116" s="16"/>
      <c r="L116" s="19"/>
      <c r="M116" s="20"/>
      <c r="N116" s="20"/>
      <c r="O116" s="16"/>
      <c r="P116" s="16"/>
      <c r="Q116" s="16"/>
    </row>
    <row r="117" spans="2:17" x14ac:dyDescent="0.2">
      <c r="B117" s="16">
        <v>8</v>
      </c>
      <c r="C117" s="16"/>
      <c r="D117" s="16"/>
      <c r="E117" s="16"/>
      <c r="F117" s="17">
        <v>0.05</v>
      </c>
      <c r="G117" s="32" t="s">
        <v>35</v>
      </c>
      <c r="H117" s="32"/>
      <c r="I117" s="16"/>
      <c r="J117" s="30">
        <v>1</v>
      </c>
      <c r="K117" s="30">
        <v>1</v>
      </c>
      <c r="L117" s="19">
        <f t="shared" si="0"/>
        <v>1</v>
      </c>
      <c r="M117" s="20">
        <f t="shared" si="2"/>
        <v>0.05</v>
      </c>
      <c r="N117" s="20"/>
      <c r="O117" s="16"/>
      <c r="P117" s="16"/>
      <c r="Q117" s="16"/>
    </row>
    <row r="118" spans="2:17" ht="12.75" hidden="1" customHeight="1" outlineLevel="1" x14ac:dyDescent="0.2">
      <c r="F118" s="9"/>
      <c r="G118" s="8" t="s">
        <v>289</v>
      </c>
      <c r="L118" s="11" t="e">
        <f t="shared" ref="L118:L126" si="6">IF(K118&gt;F118,1,K118/F118)</f>
        <v>#DIV/0!</v>
      </c>
      <c r="M118" s="20" t="e">
        <f t="shared" si="2"/>
        <v>#DIV/0!</v>
      </c>
      <c r="N118" s="12"/>
    </row>
    <row r="119" spans="2:17" ht="12.75" hidden="1" customHeight="1" outlineLevel="1" x14ac:dyDescent="0.2">
      <c r="F119" s="10"/>
      <c r="G119" s="8" t="s">
        <v>290</v>
      </c>
      <c r="L119" s="11" t="e">
        <f t="shared" si="6"/>
        <v>#DIV/0!</v>
      </c>
      <c r="M119" s="20" t="e">
        <f t="shared" si="2"/>
        <v>#DIV/0!</v>
      </c>
    </row>
    <row r="120" spans="2:17" ht="12.75" hidden="1" customHeight="1" outlineLevel="1" x14ac:dyDescent="0.2">
      <c r="F120" s="10"/>
      <c r="G120" s="8" t="s">
        <v>291</v>
      </c>
      <c r="L120" s="11" t="e">
        <f t="shared" si="6"/>
        <v>#DIV/0!</v>
      </c>
      <c r="M120" s="20" t="e">
        <f t="shared" si="2"/>
        <v>#DIV/0!</v>
      </c>
    </row>
    <row r="121" spans="2:17" ht="12.75" hidden="1" customHeight="1" outlineLevel="1" x14ac:dyDescent="0.2">
      <c r="F121" s="10"/>
      <c r="G121" s="8" t="s">
        <v>292</v>
      </c>
      <c r="L121" s="11" t="e">
        <f t="shared" si="6"/>
        <v>#DIV/0!</v>
      </c>
      <c r="M121" s="20" t="e">
        <f t="shared" si="2"/>
        <v>#DIV/0!</v>
      </c>
    </row>
    <row r="122" spans="2:17" ht="12.75" hidden="1" customHeight="1" outlineLevel="1" x14ac:dyDescent="0.2">
      <c r="G122" s="8" t="s">
        <v>293</v>
      </c>
      <c r="L122" s="11" t="e">
        <f t="shared" si="6"/>
        <v>#DIV/0!</v>
      </c>
      <c r="M122" s="20" t="e">
        <f t="shared" si="2"/>
        <v>#DIV/0!</v>
      </c>
    </row>
    <row r="123" spans="2:17" ht="12.75" hidden="1" customHeight="1" outlineLevel="1" x14ac:dyDescent="0.2">
      <c r="G123" s="13" t="s">
        <v>294</v>
      </c>
      <c r="H123" s="13"/>
      <c r="I123" s="13"/>
      <c r="L123" s="11" t="e">
        <f t="shared" si="6"/>
        <v>#DIV/0!</v>
      </c>
      <c r="M123" s="20" t="e">
        <f t="shared" si="2"/>
        <v>#DIV/0!</v>
      </c>
    </row>
    <row r="124" spans="2:17" ht="12.75" hidden="1" customHeight="1" outlineLevel="1" x14ac:dyDescent="0.2">
      <c r="G124" s="13" t="s">
        <v>295</v>
      </c>
      <c r="H124" s="13"/>
      <c r="I124" s="13"/>
      <c r="L124" s="11" t="e">
        <f t="shared" si="6"/>
        <v>#DIV/0!</v>
      </c>
      <c r="M124" s="20" t="e">
        <f t="shared" si="2"/>
        <v>#DIV/0!</v>
      </c>
    </row>
    <row r="125" spans="2:17" ht="12.75" hidden="1" customHeight="1" outlineLevel="1" x14ac:dyDescent="0.2">
      <c r="G125" s="13" t="s">
        <v>296</v>
      </c>
      <c r="H125" s="13"/>
      <c r="I125" s="13"/>
      <c r="L125" s="11" t="e">
        <f t="shared" si="6"/>
        <v>#DIV/0!</v>
      </c>
      <c r="M125" s="20" t="e">
        <f t="shared" si="2"/>
        <v>#DIV/0!</v>
      </c>
    </row>
    <row r="126" spans="2:17" ht="12.75" hidden="1" customHeight="1" outlineLevel="1" x14ac:dyDescent="0.2">
      <c r="G126" s="13" t="s">
        <v>297</v>
      </c>
      <c r="H126" s="13"/>
      <c r="I126" s="13"/>
      <c r="L126" s="11" t="e">
        <f t="shared" si="6"/>
        <v>#DIV/0!</v>
      </c>
      <c r="M126" s="20" t="e">
        <f t="shared" si="2"/>
        <v>#DIV/0!</v>
      </c>
    </row>
    <row r="127" spans="2:17" ht="12.75" hidden="1" customHeight="1" outlineLevel="1" x14ac:dyDescent="0.2">
      <c r="G127" s="13" t="s">
        <v>298</v>
      </c>
      <c r="H127" s="13"/>
      <c r="I127" s="13"/>
      <c r="M127" s="20">
        <f t="shared" si="2"/>
        <v>0</v>
      </c>
    </row>
    <row r="128" spans="2:17" ht="12.75" hidden="1" customHeight="1" outlineLevel="1" x14ac:dyDescent="0.2">
      <c r="G128" s="13" t="s">
        <v>299</v>
      </c>
      <c r="H128" s="13"/>
      <c r="I128" s="13"/>
      <c r="M128" s="48">
        <f t="shared" si="2"/>
        <v>0</v>
      </c>
    </row>
    <row r="129" spans="2:17" ht="12.75" hidden="1" customHeight="1" outlineLevel="1" x14ac:dyDescent="0.2">
      <c r="G129" s="13"/>
      <c r="H129" s="13"/>
      <c r="I129" s="13"/>
      <c r="M129" s="48"/>
    </row>
    <row r="130" spans="2:17" ht="12.75" hidden="1" customHeight="1" outlineLevel="1" x14ac:dyDescent="0.2">
      <c r="G130" s="13"/>
      <c r="H130" s="13"/>
      <c r="I130" s="13"/>
      <c r="M130" s="48"/>
    </row>
    <row r="131" spans="2:17" ht="12.75" hidden="1" customHeight="1" outlineLevel="1" x14ac:dyDescent="0.2">
      <c r="G131" s="13"/>
      <c r="H131" s="13"/>
      <c r="I131" s="13"/>
      <c r="M131" s="48"/>
    </row>
    <row r="132" spans="2:17" ht="12.75" hidden="1" customHeight="1" outlineLevel="1" x14ac:dyDescent="0.2">
      <c r="G132" s="13"/>
      <c r="H132" s="13"/>
      <c r="I132" s="13"/>
      <c r="M132" s="48"/>
    </row>
    <row r="133" spans="2:17" ht="12.75" hidden="1" customHeight="1" outlineLevel="1" x14ac:dyDescent="0.2">
      <c r="G133" s="13"/>
      <c r="H133" s="13"/>
      <c r="I133" s="13"/>
      <c r="M133" s="48"/>
    </row>
    <row r="134" spans="2:17" collapsed="1" x14ac:dyDescent="0.2">
      <c r="B134" s="16"/>
      <c r="C134" s="16"/>
      <c r="D134" s="16"/>
      <c r="E134" s="16"/>
      <c r="F134" s="16"/>
      <c r="G134" s="49" t="s">
        <v>7</v>
      </c>
      <c r="H134" s="49"/>
      <c r="I134" s="49" t="s">
        <v>300</v>
      </c>
      <c r="J134" s="17">
        <v>1</v>
      </c>
      <c r="K134" s="50">
        <f>+L134</f>
        <v>1.0325000000000002</v>
      </c>
      <c r="L134" s="50">
        <f>+M134</f>
        <v>1.0325000000000002</v>
      </c>
      <c r="M134" s="51">
        <f>+M6+M26+M49+M61+M66+M100+M108+M117</f>
        <v>1.0325000000000002</v>
      </c>
      <c r="N134" s="16"/>
      <c r="O134" s="16"/>
      <c r="P134" s="16"/>
      <c r="Q134" s="16"/>
    </row>
    <row r="135" spans="2:17" x14ac:dyDescent="0.2">
      <c r="B135" s="16"/>
      <c r="C135" s="16"/>
      <c r="D135" s="16"/>
      <c r="E135" s="16"/>
      <c r="F135" s="16"/>
      <c r="G135" s="49"/>
      <c r="H135" s="49"/>
      <c r="I135" s="49"/>
      <c r="J135" s="17"/>
      <c r="K135" s="50"/>
      <c r="L135" s="50"/>
      <c r="M135" s="51"/>
      <c r="N135" s="16"/>
      <c r="O135" s="16"/>
      <c r="P135" s="16"/>
      <c r="Q135" s="16"/>
    </row>
    <row r="136" spans="2:17" x14ac:dyDescent="0.2">
      <c r="B136" s="16"/>
      <c r="C136" s="16"/>
      <c r="D136" s="16"/>
      <c r="E136" s="16"/>
      <c r="F136" s="16"/>
      <c r="G136" s="49"/>
      <c r="H136" s="49"/>
      <c r="I136" s="49"/>
      <c r="J136" s="17"/>
      <c r="K136" s="50"/>
      <c r="L136" s="50"/>
      <c r="M136" s="51"/>
      <c r="N136" s="16"/>
      <c r="O136" s="16"/>
      <c r="P136" s="16"/>
      <c r="Q136" s="16"/>
    </row>
    <row r="137" spans="2:17" x14ac:dyDescent="0.2">
      <c r="B137" s="16"/>
      <c r="C137" s="16"/>
      <c r="D137" s="16"/>
      <c r="E137" s="16"/>
      <c r="F137" s="16"/>
      <c r="G137" s="49"/>
      <c r="H137" s="49"/>
      <c r="I137" s="49"/>
      <c r="J137" s="17"/>
      <c r="K137" s="50"/>
      <c r="L137" s="50"/>
      <c r="M137" s="51"/>
      <c r="N137" s="16"/>
      <c r="O137" s="16"/>
      <c r="P137" s="16"/>
      <c r="Q137" s="16"/>
    </row>
    <row r="138" spans="2:17" x14ac:dyDescent="0.2">
      <c r="B138" s="16"/>
      <c r="C138" s="16"/>
      <c r="D138" s="16"/>
      <c r="E138" s="16"/>
      <c r="F138" s="16"/>
      <c r="G138" s="49"/>
      <c r="H138" s="49"/>
      <c r="I138" s="49"/>
      <c r="J138" s="17"/>
      <c r="K138" s="50"/>
      <c r="L138" s="50"/>
      <c r="M138" s="51"/>
      <c r="N138" s="16"/>
      <c r="O138" s="16"/>
      <c r="P138" s="16"/>
      <c r="Q138" s="16"/>
    </row>
    <row r="139" spans="2:17" x14ac:dyDescent="0.2">
      <c r="B139" s="16"/>
      <c r="C139" s="16"/>
      <c r="D139" s="16"/>
      <c r="E139" s="16"/>
      <c r="F139" s="16"/>
      <c r="G139" s="49"/>
      <c r="H139" s="49"/>
      <c r="I139" s="49"/>
      <c r="J139" s="17"/>
      <c r="K139" s="50"/>
      <c r="L139" s="50"/>
      <c r="M139" s="51"/>
      <c r="N139" s="16"/>
      <c r="O139" s="16"/>
      <c r="P139" s="16"/>
      <c r="Q139" s="16"/>
    </row>
    <row r="140" spans="2:17" x14ac:dyDescent="0.2">
      <c r="B140" s="16"/>
      <c r="C140" s="16"/>
      <c r="D140" s="16"/>
      <c r="E140" s="16"/>
      <c r="F140" s="16"/>
      <c r="G140" s="49" t="s">
        <v>51</v>
      </c>
      <c r="H140" s="49"/>
      <c r="I140" s="49" t="s">
        <v>300</v>
      </c>
      <c r="J140" s="17">
        <v>1</v>
      </c>
      <c r="K140" s="50">
        <f>+Contenedores!H16</f>
        <v>0.42549999999999999</v>
      </c>
      <c r="L140" s="50">
        <f>+K140</f>
        <v>0.42549999999999999</v>
      </c>
      <c r="M140" s="50" t="e">
        <f>+'EJ,. CXMA MENSUAL'!H18</f>
        <v>#N/A</v>
      </c>
      <c r="N140" s="16"/>
      <c r="O140" s="16"/>
      <c r="P140" s="16"/>
      <c r="Q140" s="16"/>
    </row>
    <row r="141" spans="2:17" x14ac:dyDescent="0.2">
      <c r="G141" s="13"/>
      <c r="H141" s="13"/>
      <c r="I141" s="13"/>
    </row>
    <row r="142" spans="2:17" x14ac:dyDescent="0.2">
      <c r="G142" s="13"/>
      <c r="H142" s="13"/>
      <c r="I142" s="13"/>
    </row>
    <row r="143" spans="2:17" x14ac:dyDescent="0.2">
      <c r="G143" s="13"/>
      <c r="H143" s="13"/>
      <c r="I143" s="13"/>
      <c r="K143" s="9"/>
    </row>
    <row r="144" spans="2:17" x14ac:dyDescent="0.2">
      <c r="G144" s="13"/>
      <c r="H144" s="13"/>
      <c r="I144" s="13"/>
    </row>
    <row r="145" spans="7:9" x14ac:dyDescent="0.2">
      <c r="G145" s="13"/>
      <c r="H145" s="13"/>
      <c r="I145" s="13"/>
    </row>
    <row r="146" spans="7:9" x14ac:dyDescent="0.2">
      <c r="G146" s="13"/>
      <c r="H146" s="13"/>
      <c r="I146" s="13"/>
    </row>
    <row r="147" spans="7:9" x14ac:dyDescent="0.2">
      <c r="G147" s="13"/>
      <c r="H147" s="13"/>
      <c r="I147" s="13"/>
    </row>
    <row r="148" spans="7:9" x14ac:dyDescent="0.2">
      <c r="G148" s="13"/>
      <c r="H148" s="13"/>
      <c r="I148" s="13"/>
    </row>
    <row r="149" spans="7:9" x14ac:dyDescent="0.2">
      <c r="G149" s="13"/>
      <c r="H149" s="13"/>
      <c r="I149" s="13"/>
    </row>
    <row r="150" spans="7:9" x14ac:dyDescent="0.2">
      <c r="G150" s="13"/>
      <c r="H150" s="13"/>
      <c r="I150" s="13"/>
    </row>
  </sheetData>
  <pageMargins left="0.7" right="0.7" top="0.75" bottom="0.75" header="0.3" footer="0.3"/>
  <pageSetup orientation="portrait" horizontalDpi="360" verticalDpi="36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C0EB-0857-4BD6-98AC-68B7F8AA4BED}">
  <dimension ref="A1:P29"/>
  <sheetViews>
    <sheetView zoomScaleNormal="100" workbookViewId="0">
      <selection activeCell="B20" sqref="B20"/>
    </sheetView>
  </sheetViews>
  <sheetFormatPr baseColWidth="10" defaultRowHeight="15" x14ac:dyDescent="0.25"/>
  <cols>
    <col min="2" max="2" width="123.28515625" bestFit="1" customWidth="1"/>
    <col min="3" max="3" width="19.42578125" bestFit="1" customWidth="1"/>
  </cols>
  <sheetData>
    <row r="1" spans="1:16" x14ac:dyDescent="0.25">
      <c r="A1" s="43" t="s">
        <v>138</v>
      </c>
      <c r="B1" s="44" t="s">
        <v>139</v>
      </c>
      <c r="C1" s="43" t="s">
        <v>140</v>
      </c>
      <c r="D1" s="45" t="s">
        <v>141</v>
      </c>
      <c r="E1" s="45" t="s">
        <v>142</v>
      </c>
      <c r="F1" s="45" t="s">
        <v>5</v>
      </c>
      <c r="G1" s="43" t="s">
        <v>143</v>
      </c>
      <c r="H1" s="46">
        <v>0</v>
      </c>
      <c r="I1" s="46">
        <v>0.25</v>
      </c>
      <c r="J1" s="46">
        <v>0.5</v>
      </c>
      <c r="K1" s="46">
        <v>1</v>
      </c>
      <c r="L1" s="47" t="s">
        <v>134</v>
      </c>
      <c r="M1" s="43" t="s">
        <v>135</v>
      </c>
      <c r="N1" s="43" t="s">
        <v>136</v>
      </c>
      <c r="O1" s="43" t="s">
        <v>137</v>
      </c>
    </row>
    <row r="2" spans="1:16" x14ac:dyDescent="0.25">
      <c r="A2" s="18">
        <v>0.32500000000000001</v>
      </c>
      <c r="B2" s="32" t="s">
        <v>147</v>
      </c>
      <c r="C2" s="16" t="s">
        <v>149</v>
      </c>
      <c r="D2" s="17">
        <v>0.1</v>
      </c>
      <c r="E2" s="19">
        <v>0.2</v>
      </c>
      <c r="F2" s="19">
        <f>IF(E2&gt;(D2*1.1),1.1,IF(E2&lt;0,0,E2/D2))</f>
        <v>1.1000000000000001</v>
      </c>
      <c r="G2" s="241">
        <f t="shared" ref="G2:G9" si="0">+F2*A2</f>
        <v>0.35750000000000004</v>
      </c>
      <c r="H2" s="241"/>
      <c r="I2" s="16"/>
      <c r="J2" s="16"/>
      <c r="K2" s="16"/>
      <c r="L2" s="194" t="s">
        <v>144</v>
      </c>
      <c r="M2" s="16">
        <v>41</v>
      </c>
      <c r="N2" s="16" t="s">
        <v>145</v>
      </c>
      <c r="O2" s="16" t="s">
        <v>146</v>
      </c>
    </row>
    <row r="3" spans="1:16" x14ac:dyDescent="0.25">
      <c r="A3" s="18">
        <v>0.27500000000000002</v>
      </c>
      <c r="B3" s="32" t="s">
        <v>206</v>
      </c>
      <c r="C3" s="16"/>
      <c r="D3" s="17">
        <v>0.1</v>
      </c>
      <c r="E3" s="17">
        <v>0.1</v>
      </c>
      <c r="F3" s="19">
        <f t="shared" ref="F3:F9" si="1">IF(E3&gt;D3,1,IF(E3&lt;0,0,E3/D3))</f>
        <v>1</v>
      </c>
      <c r="G3" s="241">
        <f t="shared" si="0"/>
        <v>0.27500000000000002</v>
      </c>
      <c r="H3" s="241">
        <v>0</v>
      </c>
      <c r="I3" s="23"/>
      <c r="J3" s="23"/>
      <c r="K3" s="17"/>
      <c r="L3" s="194" t="s">
        <v>144</v>
      </c>
      <c r="M3" s="16"/>
      <c r="N3" s="16" t="s">
        <v>145</v>
      </c>
      <c r="O3" s="16" t="s">
        <v>205</v>
      </c>
    </row>
    <row r="4" spans="1:16" x14ac:dyDescent="0.25">
      <c r="A4" s="18">
        <v>0.05</v>
      </c>
      <c r="B4" s="32" t="s">
        <v>250</v>
      </c>
      <c r="C4" s="16"/>
      <c r="D4" s="17">
        <v>1</v>
      </c>
      <c r="E4" s="17">
        <v>1</v>
      </c>
      <c r="F4" s="19">
        <f t="shared" si="1"/>
        <v>1</v>
      </c>
      <c r="G4" s="241">
        <f t="shared" si="0"/>
        <v>0.05</v>
      </c>
      <c r="H4" s="241" t="s">
        <v>251</v>
      </c>
      <c r="I4" s="16"/>
      <c r="J4" s="16"/>
      <c r="K4" s="16">
        <v>0</v>
      </c>
      <c r="L4" s="8"/>
      <c r="M4" s="16">
        <v>3</v>
      </c>
      <c r="N4" s="16"/>
      <c r="O4" s="16"/>
    </row>
    <row r="5" spans="1:16" x14ac:dyDescent="0.25">
      <c r="A5" s="18">
        <v>0.1</v>
      </c>
      <c r="B5" s="32" t="s">
        <v>18</v>
      </c>
      <c r="C5" s="16"/>
      <c r="D5" s="17">
        <v>0.1</v>
      </c>
      <c r="E5" s="17">
        <v>0.1</v>
      </c>
      <c r="F5" s="19">
        <f t="shared" si="1"/>
        <v>1</v>
      </c>
      <c r="G5" s="241">
        <f t="shared" si="0"/>
        <v>0.1</v>
      </c>
      <c r="H5" s="241"/>
      <c r="I5" s="16"/>
      <c r="J5" s="16"/>
      <c r="K5" s="16"/>
      <c r="L5" s="8"/>
      <c r="M5" s="16">
        <v>4</v>
      </c>
      <c r="N5" s="16"/>
      <c r="O5" s="16"/>
    </row>
    <row r="6" spans="1:16" x14ac:dyDescent="0.25">
      <c r="A6" s="18">
        <v>0.1</v>
      </c>
      <c r="B6" s="32" t="s">
        <v>37</v>
      </c>
      <c r="C6" s="16"/>
      <c r="D6" s="26">
        <v>3700</v>
      </c>
      <c r="E6" s="26">
        <v>3932</v>
      </c>
      <c r="F6" s="19">
        <f t="shared" si="1"/>
        <v>1</v>
      </c>
      <c r="G6" s="241">
        <f t="shared" si="0"/>
        <v>0.1</v>
      </c>
      <c r="H6" s="241" t="s">
        <v>257</v>
      </c>
      <c r="I6" s="16" t="s">
        <v>258</v>
      </c>
      <c r="J6" s="16" t="s">
        <v>259</v>
      </c>
      <c r="K6" s="16" t="s">
        <v>260</v>
      </c>
      <c r="L6" s="8"/>
      <c r="M6" s="16">
        <v>5</v>
      </c>
      <c r="N6" s="16"/>
      <c r="O6" s="16"/>
    </row>
    <row r="7" spans="1:16" x14ac:dyDescent="0.25">
      <c r="A7" s="17">
        <v>0.05</v>
      </c>
      <c r="B7" s="32" t="s">
        <v>29</v>
      </c>
      <c r="C7" s="16"/>
      <c r="D7" s="17">
        <v>0.05</v>
      </c>
      <c r="E7" s="17">
        <v>1</v>
      </c>
      <c r="F7" s="19">
        <f t="shared" si="1"/>
        <v>1</v>
      </c>
      <c r="G7" s="241">
        <f t="shared" si="0"/>
        <v>0.05</v>
      </c>
      <c r="H7" s="241"/>
      <c r="I7" s="16"/>
      <c r="J7" s="16"/>
      <c r="K7" s="16"/>
      <c r="L7" s="194" t="s">
        <v>144</v>
      </c>
      <c r="M7" s="16">
        <v>6</v>
      </c>
      <c r="N7" s="16"/>
      <c r="O7" s="16" t="s">
        <v>282</v>
      </c>
    </row>
    <row r="8" spans="1:16" x14ac:dyDescent="0.25">
      <c r="A8" s="17">
        <v>0.05</v>
      </c>
      <c r="B8" s="32" t="s">
        <v>28</v>
      </c>
      <c r="C8" s="16"/>
      <c r="D8" s="17">
        <v>0.05</v>
      </c>
      <c r="E8" s="17">
        <v>0.05</v>
      </c>
      <c r="F8" s="19">
        <f t="shared" si="1"/>
        <v>1</v>
      </c>
      <c r="G8" s="241">
        <f t="shared" si="0"/>
        <v>0.05</v>
      </c>
      <c r="H8" s="241"/>
      <c r="I8" s="16"/>
      <c r="J8" s="16"/>
      <c r="K8" s="16"/>
      <c r="L8" s="194" t="s">
        <v>144</v>
      </c>
      <c r="M8" s="16">
        <v>7</v>
      </c>
      <c r="N8" s="16"/>
      <c r="O8" s="16" t="s">
        <v>288</v>
      </c>
    </row>
    <row r="9" spans="1:16" x14ac:dyDescent="0.25">
      <c r="A9" s="17">
        <v>0.05</v>
      </c>
      <c r="B9" s="32" t="s">
        <v>35</v>
      </c>
      <c r="C9" s="16"/>
      <c r="D9" s="242">
        <v>1</v>
      </c>
      <c r="E9" s="242">
        <v>1</v>
      </c>
      <c r="F9" s="19">
        <f t="shared" si="1"/>
        <v>1</v>
      </c>
      <c r="G9" s="241">
        <f t="shared" si="0"/>
        <v>0.05</v>
      </c>
      <c r="H9" s="241"/>
      <c r="I9" s="16"/>
      <c r="J9" s="16"/>
      <c r="K9" s="16"/>
      <c r="L9" s="8"/>
      <c r="M9" s="16">
        <v>8</v>
      </c>
      <c r="N9" s="16"/>
      <c r="O9" s="16"/>
    </row>
    <row r="11" spans="1:16" x14ac:dyDescent="0.25">
      <c r="A11" t="s">
        <v>391</v>
      </c>
      <c r="C11" t="s">
        <v>392</v>
      </c>
      <c r="E11" t="s">
        <v>390</v>
      </c>
      <c r="F11" t="s">
        <v>393</v>
      </c>
      <c r="G11" t="s">
        <v>394</v>
      </c>
      <c r="H11" t="s">
        <v>395</v>
      </c>
      <c r="I11" t="s">
        <v>396</v>
      </c>
      <c r="J11" t="s">
        <v>397</v>
      </c>
      <c r="K11" t="s">
        <v>398</v>
      </c>
      <c r="L11" t="s">
        <v>399</v>
      </c>
      <c r="M11" t="s">
        <v>400</v>
      </c>
      <c r="N11" t="s">
        <v>401</v>
      </c>
      <c r="O11" t="s">
        <v>402</v>
      </c>
      <c r="P11" t="s">
        <v>403</v>
      </c>
    </row>
    <row r="12" spans="1:16" x14ac:dyDescent="0.25">
      <c r="A12" t="str">
        <f>+B2</f>
        <v>1. Aumentar ventas  en el año 2023 del Grupo EXA (EXA, CONMOXA, AXA, TREXA, SAN JORGE) en  10% en USD vs año 2022.</v>
      </c>
      <c r="B12" t="str">
        <f t="shared" ref="B12:C12" si="2">+C2</f>
        <v>Porcentaje</v>
      </c>
      <c r="C12">
        <f t="shared" si="2"/>
        <v>0.1</v>
      </c>
    </row>
    <row r="13" spans="1:16" x14ac:dyDescent="0.25">
      <c r="A13" t="str">
        <f t="shared" ref="A13:C13" si="3">+B3</f>
        <v>2. Aumentar margen neto vrs año anterior</v>
      </c>
      <c r="B13">
        <f t="shared" si="3"/>
        <v>0</v>
      </c>
      <c r="C13">
        <f t="shared" si="3"/>
        <v>0.1</v>
      </c>
    </row>
    <row r="14" spans="1:16" x14ac:dyDescent="0.25">
      <c r="A14" t="str">
        <f t="shared" ref="A14:C14" si="4">+B4</f>
        <v>3. Cero incidentes mayores de seguridad y sostenibilidad</v>
      </c>
      <c r="B14">
        <f t="shared" si="4"/>
        <v>0</v>
      </c>
      <c r="C14">
        <f t="shared" si="4"/>
        <v>1</v>
      </c>
    </row>
    <row r="15" spans="1:16" x14ac:dyDescent="0.25">
      <c r="A15" t="str">
        <f t="shared" ref="A15:C15" si="5">+B5</f>
        <v>4. Aumentar clima laboral</v>
      </c>
      <c r="B15">
        <f t="shared" si="5"/>
        <v>0</v>
      </c>
      <c r="C15">
        <f t="shared" si="5"/>
        <v>0.1</v>
      </c>
    </row>
    <row r="16" spans="1:16" x14ac:dyDescent="0.25">
      <c r="A16" t="str">
        <f t="shared" ref="A16:C16" si="6">+B6</f>
        <v>5. Productividad</v>
      </c>
      <c r="B16">
        <f t="shared" si="6"/>
        <v>0</v>
      </c>
      <c r="C16">
        <f t="shared" si="6"/>
        <v>3700</v>
      </c>
    </row>
    <row r="17" spans="1:16" x14ac:dyDescent="0.25">
      <c r="A17" t="str">
        <f t="shared" ref="A17:C17" si="7">+B7</f>
        <v>6. Aumentar el ROA</v>
      </c>
      <c r="B17">
        <f t="shared" si="7"/>
        <v>0</v>
      </c>
      <c r="C17">
        <f t="shared" si="7"/>
        <v>0.05</v>
      </c>
    </row>
    <row r="18" spans="1:16" x14ac:dyDescent="0.25">
      <c r="A18" t="str">
        <f t="shared" ref="A18:C18" si="8">+B8</f>
        <v>7. Disminuir el D/E</v>
      </c>
      <c r="B18">
        <f t="shared" si="8"/>
        <v>0</v>
      </c>
      <c r="C18">
        <f t="shared" si="8"/>
        <v>0.05</v>
      </c>
    </row>
    <row r="20" spans="1:16" x14ac:dyDescent="0.25">
      <c r="A20" t="s">
        <v>404</v>
      </c>
      <c r="E20" t="s">
        <v>390</v>
      </c>
      <c r="F20" t="s">
        <v>393</v>
      </c>
      <c r="G20" t="s">
        <v>394</v>
      </c>
      <c r="H20" t="s">
        <v>395</v>
      </c>
      <c r="I20" t="s">
        <v>396</v>
      </c>
      <c r="J20" t="s">
        <v>397</v>
      </c>
      <c r="K20" t="s">
        <v>398</v>
      </c>
      <c r="L20" t="s">
        <v>399</v>
      </c>
      <c r="M20" t="s">
        <v>400</v>
      </c>
      <c r="N20" t="s">
        <v>401</v>
      </c>
      <c r="O20" t="s">
        <v>402</v>
      </c>
      <c r="P20" t="s">
        <v>403</v>
      </c>
    </row>
    <row r="21" spans="1:16" x14ac:dyDescent="0.25">
      <c r="A21" s="52">
        <f>+A2</f>
        <v>0.32500000000000001</v>
      </c>
      <c r="B21" t="str">
        <f>+A12</f>
        <v>1. Aumentar ventas  en el año 2023 del Grupo EXA (EXA, CONMOXA, AXA, TREXA, SAN JORGE) en  10% en USD vs año 2022.</v>
      </c>
      <c r="C21" t="str">
        <f>+B12</f>
        <v>Porcentaje</v>
      </c>
      <c r="D21">
        <f>+C12</f>
        <v>0.1</v>
      </c>
      <c r="E21" s="19" t="e">
        <f>IF(D21&gt;(C21*1.1),1.1,IF(D21&lt;0,0,D21/C21))</f>
        <v>#VALUE!</v>
      </c>
    </row>
    <row r="22" spans="1:16" x14ac:dyDescent="0.25">
      <c r="A22" s="52">
        <f t="shared" ref="A22:A26" si="9">+A3</f>
        <v>0.27500000000000002</v>
      </c>
      <c r="B22" t="str">
        <f t="shared" ref="B22:B26" si="10">+A13</f>
        <v>2. Aumentar margen neto vrs año anterior</v>
      </c>
    </row>
    <row r="23" spans="1:16" x14ac:dyDescent="0.25">
      <c r="A23" s="52">
        <f t="shared" si="9"/>
        <v>0.05</v>
      </c>
      <c r="B23" t="str">
        <f t="shared" si="10"/>
        <v>3. Cero incidentes mayores de seguridad y sostenibilidad</v>
      </c>
    </row>
    <row r="24" spans="1:16" x14ac:dyDescent="0.25">
      <c r="A24" s="52">
        <f t="shared" si="9"/>
        <v>0.1</v>
      </c>
      <c r="B24" t="str">
        <f t="shared" si="10"/>
        <v>4. Aumentar clima laboral</v>
      </c>
    </row>
    <row r="25" spans="1:16" x14ac:dyDescent="0.25">
      <c r="A25" s="52">
        <f t="shared" si="9"/>
        <v>0.1</v>
      </c>
      <c r="B25" t="str">
        <f t="shared" si="10"/>
        <v>5. Productividad</v>
      </c>
    </row>
    <row r="26" spans="1:16" x14ac:dyDescent="0.25">
      <c r="A26" s="52">
        <f t="shared" si="9"/>
        <v>0.05</v>
      </c>
      <c r="B26" t="str">
        <f t="shared" si="10"/>
        <v>6. Aumentar el ROA</v>
      </c>
    </row>
    <row r="27" spans="1:16" x14ac:dyDescent="0.25">
      <c r="A27" s="52">
        <f>+A8</f>
        <v>0.05</v>
      </c>
      <c r="B27" t="str">
        <f>+A18</f>
        <v>7. Disminuir el D/E</v>
      </c>
    </row>
    <row r="28" spans="1:16" x14ac:dyDescent="0.25">
      <c r="A28" s="52"/>
    </row>
    <row r="29" spans="1:16" x14ac:dyDescent="0.25">
      <c r="A29" t="s">
        <v>405</v>
      </c>
    </row>
  </sheetData>
  <phoneticPr fontId="1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151"/>
  <sheetViews>
    <sheetView zoomScaleNormal="100" workbookViewId="0">
      <pane ySplit="6" topLeftCell="A16" activePane="bottomLeft" state="frozen"/>
      <selection pane="bottomLeft" activeCell="F141" sqref="F141"/>
    </sheetView>
  </sheetViews>
  <sheetFormatPr baseColWidth="10" defaultColWidth="11.42578125" defaultRowHeight="12.75" outlineLevelRow="1" x14ac:dyDescent="0.2"/>
  <cols>
    <col min="1" max="1" width="11.42578125" style="8"/>
    <col min="2" max="2" width="17.42578125" style="8" customWidth="1"/>
    <col min="3" max="3" width="11.42578125" style="8"/>
    <col min="4" max="4" width="91.140625" style="8" bestFit="1" customWidth="1"/>
    <col min="5" max="5" width="24.28515625" style="8" customWidth="1"/>
    <col min="6" max="7" width="14.85546875" style="8" bestFit="1" customWidth="1"/>
    <col min="8" max="8" width="11.42578125" style="8"/>
    <col min="9" max="9" width="15.85546875" style="8" bestFit="1" customWidth="1"/>
    <col min="10" max="10" width="15.85546875" style="8" customWidth="1"/>
    <col min="11" max="16384" width="11.42578125" style="8"/>
  </cols>
  <sheetData>
    <row r="1" spans="1:13" x14ac:dyDescent="0.2">
      <c r="A1" s="8" t="s">
        <v>125</v>
      </c>
      <c r="B1" s="8" t="s">
        <v>126</v>
      </c>
    </row>
    <row r="2" spans="1:13" x14ac:dyDescent="0.2">
      <c r="B2" s="8" t="s">
        <v>128</v>
      </c>
      <c r="C2" s="193">
        <v>44197</v>
      </c>
      <c r="D2" s="8" t="s">
        <v>129</v>
      </c>
      <c r="E2" s="8" t="s">
        <v>130</v>
      </c>
    </row>
    <row r="3" spans="1:13" x14ac:dyDescent="0.2">
      <c r="B3" s="8" t="s">
        <v>131</v>
      </c>
      <c r="C3" s="8">
        <v>2021</v>
      </c>
      <c r="D3" s="8" t="s">
        <v>132</v>
      </c>
      <c r="E3" s="8">
        <v>2022</v>
      </c>
    </row>
    <row r="4" spans="1:13" x14ac:dyDescent="0.2">
      <c r="D4" s="8" t="s">
        <v>133</v>
      </c>
      <c r="E4" s="8">
        <v>1</v>
      </c>
      <c r="F4" s="8">
        <v>25</v>
      </c>
    </row>
    <row r="5" spans="1:13" s="47" customFormat="1" x14ac:dyDescent="0.2">
      <c r="A5" s="47" t="s">
        <v>134</v>
      </c>
      <c r="B5" s="43" t="s">
        <v>301</v>
      </c>
      <c r="C5" s="43" t="s">
        <v>138</v>
      </c>
      <c r="D5" s="44" t="s">
        <v>139</v>
      </c>
      <c r="E5" s="43" t="s">
        <v>140</v>
      </c>
      <c r="F5" s="45" t="s">
        <v>141</v>
      </c>
      <c r="G5" s="45" t="s">
        <v>142</v>
      </c>
      <c r="H5" s="45" t="s">
        <v>5</v>
      </c>
      <c r="I5" s="43" t="s">
        <v>143</v>
      </c>
      <c r="J5" s="46">
        <v>0</v>
      </c>
      <c r="K5" s="46">
        <v>0.25</v>
      </c>
      <c r="L5" s="46">
        <v>0.5</v>
      </c>
      <c r="M5" s="46">
        <v>1</v>
      </c>
    </row>
    <row r="6" spans="1:13" s="148" customFormat="1" x14ac:dyDescent="0.2">
      <c r="A6" s="148" t="s">
        <v>302</v>
      </c>
      <c r="B6" s="189">
        <v>4</v>
      </c>
      <c r="C6" s="190">
        <v>0.32500000000000001</v>
      </c>
      <c r="D6" s="191" t="s">
        <v>303</v>
      </c>
      <c r="E6" s="25"/>
      <c r="F6" s="145">
        <v>0.2</v>
      </c>
      <c r="G6" s="146">
        <v>0.24909999999999999</v>
      </c>
      <c r="H6" s="146">
        <f>IF(G6&gt;(F6*1.1),1.1,IF(G6&lt;0,0,G6/F6))</f>
        <v>1.1000000000000001</v>
      </c>
      <c r="I6" s="147">
        <f>+H6*C6</f>
        <v>0.35750000000000004</v>
      </c>
      <c r="J6" s="147"/>
      <c r="K6" s="25"/>
      <c r="L6" s="25"/>
      <c r="M6" s="25"/>
    </row>
    <row r="7" spans="1:13" s="148" customFormat="1" ht="12.75" customHeight="1" outlineLevel="1" x14ac:dyDescent="0.2">
      <c r="B7" s="189">
        <v>410101</v>
      </c>
      <c r="C7" s="190"/>
      <c r="D7" s="192" t="s">
        <v>304</v>
      </c>
      <c r="E7" s="25"/>
      <c r="F7" s="145">
        <v>0.2</v>
      </c>
      <c r="G7" s="146">
        <v>-0.15</v>
      </c>
      <c r="H7" s="146">
        <f t="shared" ref="H7:H118" si="0">IF(G7&gt;F7,1,IF(G7&lt;0,0,G7/F7))</f>
        <v>0</v>
      </c>
      <c r="I7" s="147">
        <f>+H7*C7</f>
        <v>0</v>
      </c>
      <c r="J7" s="147"/>
      <c r="K7" s="25"/>
      <c r="L7" s="25"/>
      <c r="M7" s="25"/>
    </row>
    <row r="8" spans="1:13" s="148" customFormat="1" ht="12.75" customHeight="1" outlineLevel="1" x14ac:dyDescent="0.2">
      <c r="B8" s="25"/>
      <c r="C8" s="143"/>
      <c r="D8" s="144" t="s">
        <v>6</v>
      </c>
      <c r="E8" s="25"/>
      <c r="F8" s="149">
        <v>15</v>
      </c>
      <c r="G8" s="150">
        <v>1</v>
      </c>
      <c r="H8" s="146">
        <f>IF(G8&gt;F8,1,IF(G8&lt;0,0,G8/F8))</f>
        <v>6.6666666666666666E-2</v>
      </c>
      <c r="I8" s="147">
        <f>+H8*C8</f>
        <v>0</v>
      </c>
      <c r="J8" s="147"/>
      <c r="K8" s="25"/>
      <c r="L8" s="25"/>
      <c r="M8" s="25"/>
    </row>
    <row r="9" spans="1:13" s="148" customFormat="1" ht="12.75" customHeight="1" outlineLevel="1" x14ac:dyDescent="0.2">
      <c r="B9" s="189">
        <v>410202</v>
      </c>
      <c r="C9" s="190"/>
      <c r="D9" s="192" t="s">
        <v>10</v>
      </c>
      <c r="E9" s="25" t="s">
        <v>158</v>
      </c>
      <c r="F9" s="151">
        <f>1000000/$F$4</f>
        <v>40000</v>
      </c>
      <c r="G9" s="151">
        <v>1800</v>
      </c>
      <c r="H9" s="146">
        <f>IF(G9&gt;F9,1,IF(G9&lt;0,0,G9/F9))</f>
        <v>4.4999999999999998E-2</v>
      </c>
      <c r="I9" s="147"/>
      <c r="J9" s="147"/>
      <c r="K9" s="25"/>
      <c r="L9" s="25"/>
      <c r="M9" s="25"/>
    </row>
    <row r="10" spans="1:13" s="113" customFormat="1" ht="12.75" customHeight="1" outlineLevel="1" x14ac:dyDescent="0.2">
      <c r="B10" s="107">
        <v>410108002</v>
      </c>
      <c r="C10" s="108"/>
      <c r="D10" s="114" t="s">
        <v>9</v>
      </c>
      <c r="E10" s="107" t="s">
        <v>158</v>
      </c>
      <c r="F10" s="116">
        <f>400000/$F$4</f>
        <v>16000</v>
      </c>
      <c r="G10" s="116">
        <v>0</v>
      </c>
      <c r="H10" s="111">
        <f t="shared" ref="H10:H12" si="1">IF(G10&gt;F10,1,IF(G10&lt;0,0,G10/F10))</f>
        <v>0</v>
      </c>
      <c r="I10" s="112"/>
      <c r="J10" s="112"/>
      <c r="K10" s="107"/>
      <c r="L10" s="107"/>
      <c r="M10" s="107"/>
    </row>
    <row r="11" spans="1:13" s="148" customFormat="1" ht="12.75" customHeight="1" outlineLevel="1" x14ac:dyDescent="0.2">
      <c r="B11" s="25">
        <v>410107</v>
      </c>
      <c r="C11" s="143"/>
      <c r="D11" s="144" t="s">
        <v>52</v>
      </c>
      <c r="E11" s="25" t="s">
        <v>149</v>
      </c>
      <c r="F11" s="152">
        <v>0.2</v>
      </c>
      <c r="G11" s="152">
        <v>-0.37</v>
      </c>
      <c r="H11" s="146">
        <f t="shared" si="1"/>
        <v>0</v>
      </c>
      <c r="I11" s="147"/>
      <c r="J11" s="147"/>
      <c r="K11" s="25"/>
      <c r="L11" s="25"/>
      <c r="M11" s="25"/>
    </row>
    <row r="12" spans="1:13" s="148" customFormat="1" ht="12.75" customHeight="1" outlineLevel="1" x14ac:dyDescent="0.2">
      <c r="B12" s="25" t="s">
        <v>305</v>
      </c>
      <c r="C12" s="143"/>
      <c r="D12" s="144" t="s">
        <v>8</v>
      </c>
      <c r="E12" s="25" t="s">
        <v>149</v>
      </c>
      <c r="F12" s="152">
        <v>0.2</v>
      </c>
      <c r="G12" s="152">
        <v>0.45</v>
      </c>
      <c r="H12" s="146">
        <f t="shared" si="1"/>
        <v>1</v>
      </c>
      <c r="I12" s="147"/>
      <c r="J12" s="147" t="s">
        <v>168</v>
      </c>
      <c r="K12" s="25"/>
      <c r="L12" s="25"/>
      <c r="M12" s="25"/>
    </row>
    <row r="13" spans="1:13" s="148" customFormat="1" ht="12.75" customHeight="1" outlineLevel="1" x14ac:dyDescent="0.2">
      <c r="B13" s="25">
        <v>410203</v>
      </c>
      <c r="C13" s="143"/>
      <c r="D13" s="144" t="s">
        <v>102</v>
      </c>
      <c r="E13" s="25" t="s">
        <v>306</v>
      </c>
      <c r="F13" s="149">
        <v>100000</v>
      </c>
      <c r="G13" s="149">
        <v>112588</v>
      </c>
      <c r="H13" s="146">
        <f t="shared" si="0"/>
        <v>1</v>
      </c>
      <c r="I13" s="147">
        <f t="shared" ref="I13:I129" si="2">+H13*C13</f>
        <v>0</v>
      </c>
      <c r="J13" s="147"/>
      <c r="K13" s="25"/>
      <c r="L13" s="25"/>
      <c r="M13" s="25"/>
    </row>
    <row r="14" spans="1:13" s="148" customFormat="1" ht="12.75" customHeight="1" outlineLevel="1" x14ac:dyDescent="0.2">
      <c r="B14" s="25" t="s">
        <v>307</v>
      </c>
      <c r="C14" s="143"/>
      <c r="D14" s="144" t="s">
        <v>31</v>
      </c>
      <c r="E14" s="25" t="s">
        <v>158</v>
      </c>
      <c r="F14" s="145">
        <v>0.2</v>
      </c>
      <c r="G14" s="146">
        <v>1.03</v>
      </c>
      <c r="H14" s="146">
        <f t="shared" si="0"/>
        <v>1</v>
      </c>
      <c r="I14" s="147">
        <f t="shared" si="2"/>
        <v>0</v>
      </c>
      <c r="J14" s="147"/>
      <c r="K14" s="25"/>
      <c r="L14" s="25"/>
      <c r="M14" s="25"/>
    </row>
    <row r="15" spans="1:13" s="148" customFormat="1" ht="12.75" customHeight="1" outlineLevel="1" x14ac:dyDescent="0.2">
      <c r="B15" s="25"/>
      <c r="C15" s="143"/>
      <c r="D15" s="144" t="s">
        <v>47</v>
      </c>
      <c r="E15" s="25" t="s">
        <v>178</v>
      </c>
      <c r="F15" s="149">
        <v>10</v>
      </c>
      <c r="G15" s="150">
        <v>0</v>
      </c>
      <c r="H15" s="146">
        <f t="shared" si="0"/>
        <v>0</v>
      </c>
      <c r="I15" s="147">
        <f t="shared" si="2"/>
        <v>0</v>
      </c>
      <c r="J15" s="147"/>
      <c r="K15" s="25"/>
      <c r="L15" s="25"/>
      <c r="M15" s="25"/>
    </row>
    <row r="16" spans="1:13" s="148" customFormat="1" ht="12.75" customHeight="1" outlineLevel="1" x14ac:dyDescent="0.2">
      <c r="B16" s="25" t="s">
        <v>180</v>
      </c>
      <c r="C16" s="143"/>
      <c r="D16" s="144" t="s">
        <v>13</v>
      </c>
      <c r="E16" s="25" t="s">
        <v>183</v>
      </c>
      <c r="F16" s="149">
        <v>10</v>
      </c>
      <c r="G16" s="150">
        <v>19</v>
      </c>
      <c r="H16" s="146">
        <f t="shared" si="0"/>
        <v>1</v>
      </c>
      <c r="I16" s="147">
        <f t="shared" si="2"/>
        <v>0</v>
      </c>
      <c r="J16" s="147"/>
      <c r="K16" s="25"/>
      <c r="L16" s="25"/>
      <c r="M16" s="25"/>
    </row>
    <row r="17" spans="2:13" s="148" customFormat="1" ht="12.75" customHeight="1" outlineLevel="1" x14ac:dyDescent="0.2">
      <c r="B17" s="25">
        <v>410201</v>
      </c>
      <c r="C17" s="143"/>
      <c r="D17" s="144" t="s">
        <v>103</v>
      </c>
      <c r="E17" s="25" t="s">
        <v>158</v>
      </c>
      <c r="F17" s="151">
        <v>25000</v>
      </c>
      <c r="G17" s="153">
        <v>20092.400000000001</v>
      </c>
      <c r="H17" s="146">
        <f>IF(G17&gt;F17,1,IF(G17&lt;0,0,G17/F17))</f>
        <v>0.80369600000000008</v>
      </c>
      <c r="I17" s="147"/>
      <c r="J17" s="147"/>
      <c r="K17" s="25"/>
      <c r="L17" s="25"/>
      <c r="M17" s="25"/>
    </row>
    <row r="18" spans="2:13" s="148" customFormat="1" ht="12.75" customHeight="1" outlineLevel="1" x14ac:dyDescent="0.2">
      <c r="B18" s="25" t="s">
        <v>308</v>
      </c>
      <c r="C18" s="143"/>
      <c r="D18" s="144" t="s">
        <v>309</v>
      </c>
      <c r="E18" s="25" t="s">
        <v>189</v>
      </c>
      <c r="F18" s="145">
        <v>0.2</v>
      </c>
      <c r="G18" s="146">
        <v>-0.39</v>
      </c>
      <c r="H18" s="146">
        <f t="shared" si="0"/>
        <v>0</v>
      </c>
      <c r="I18" s="147"/>
      <c r="J18" s="147"/>
      <c r="K18" s="25"/>
      <c r="L18" s="25"/>
      <c r="M18" s="25"/>
    </row>
    <row r="19" spans="2:13" s="113" customFormat="1" ht="12.75" customHeight="1" outlineLevel="1" x14ac:dyDescent="0.2">
      <c r="B19" s="107">
        <v>4101105001</v>
      </c>
      <c r="C19" s="108"/>
      <c r="D19" s="114" t="s">
        <v>92</v>
      </c>
      <c r="E19" s="107"/>
      <c r="F19" s="110">
        <v>0.2</v>
      </c>
      <c r="G19" s="111">
        <v>0.3</v>
      </c>
      <c r="H19" s="111">
        <f t="shared" si="0"/>
        <v>1</v>
      </c>
      <c r="I19" s="112"/>
      <c r="J19" s="112" t="s">
        <v>193</v>
      </c>
      <c r="K19" s="107"/>
      <c r="L19" s="107"/>
      <c r="M19" s="107"/>
    </row>
    <row r="20" spans="2:13" s="113" customFormat="1" ht="12.75" customHeight="1" outlineLevel="1" x14ac:dyDescent="0.2">
      <c r="B20" s="107">
        <v>4101105002</v>
      </c>
      <c r="C20" s="108"/>
      <c r="D20" s="114" t="s">
        <v>78</v>
      </c>
      <c r="E20" s="107" t="s">
        <v>197</v>
      </c>
      <c r="F20" s="110">
        <v>0.2</v>
      </c>
      <c r="G20" s="111">
        <v>-0.5</v>
      </c>
      <c r="H20" s="111">
        <f t="shared" si="0"/>
        <v>0</v>
      </c>
      <c r="I20" s="112"/>
      <c r="J20" s="112"/>
      <c r="K20" s="107"/>
      <c r="L20" s="107"/>
      <c r="M20" s="107"/>
    </row>
    <row r="21" spans="2:13" s="113" customFormat="1" ht="12.75" customHeight="1" outlineLevel="1" x14ac:dyDescent="0.2">
      <c r="B21" s="107">
        <v>410201</v>
      </c>
      <c r="C21" s="108"/>
      <c r="D21" s="114" t="s">
        <v>310</v>
      </c>
      <c r="E21" s="107"/>
      <c r="F21" s="110">
        <v>0.2</v>
      </c>
      <c r="G21" s="111">
        <v>0</v>
      </c>
      <c r="H21" s="111">
        <f t="shared" si="0"/>
        <v>0</v>
      </c>
      <c r="I21" s="112"/>
      <c r="J21" s="112"/>
      <c r="K21" s="107"/>
      <c r="L21" s="107"/>
      <c r="M21" s="107"/>
    </row>
    <row r="22" spans="2:13" s="77" customFormat="1" ht="12.75" customHeight="1" outlineLevel="1" x14ac:dyDescent="0.2">
      <c r="B22" s="78">
        <v>4101105</v>
      </c>
      <c r="C22" s="72"/>
      <c r="D22" s="73" t="s">
        <v>311</v>
      </c>
      <c r="E22" s="71"/>
      <c r="F22" s="74"/>
      <c r="G22" s="75"/>
      <c r="H22" s="75"/>
      <c r="I22" s="76"/>
      <c r="J22" s="76"/>
      <c r="K22" s="71"/>
      <c r="L22" s="71"/>
      <c r="M22" s="71"/>
    </row>
    <row r="23" spans="2:13" s="88" customFormat="1" ht="12.75" customHeight="1" outlineLevel="1" x14ac:dyDescent="0.2">
      <c r="B23" s="84"/>
      <c r="C23" s="85"/>
      <c r="D23" s="90" t="s">
        <v>63</v>
      </c>
      <c r="E23" s="84" t="s">
        <v>201</v>
      </c>
      <c r="F23" s="91">
        <v>1</v>
      </c>
      <c r="G23" s="86"/>
      <c r="H23" s="86"/>
      <c r="I23" s="87"/>
      <c r="J23" s="87"/>
      <c r="K23" s="84"/>
      <c r="L23" s="84"/>
      <c r="M23" s="84"/>
    </row>
    <row r="24" spans="2:13" ht="12.75" customHeight="1" outlineLevel="1" x14ac:dyDescent="0.2">
      <c r="B24" s="16"/>
      <c r="C24" s="18"/>
      <c r="D24" s="58"/>
      <c r="E24" s="16"/>
      <c r="F24" s="17"/>
      <c r="G24" s="19"/>
      <c r="H24" s="19"/>
      <c r="I24" s="20"/>
      <c r="J24" s="20"/>
      <c r="K24" s="16"/>
      <c r="L24" s="16"/>
      <c r="M24" s="16"/>
    </row>
    <row r="25" spans="2:13" ht="12.75" customHeight="1" outlineLevel="1" x14ac:dyDescent="0.2">
      <c r="B25" s="16"/>
      <c r="C25" s="18"/>
      <c r="D25" s="58"/>
      <c r="E25" s="16"/>
      <c r="F25" s="17"/>
      <c r="G25" s="19"/>
      <c r="H25" s="19"/>
      <c r="I25" s="20"/>
      <c r="J25" s="20"/>
      <c r="K25" s="16"/>
      <c r="L25" s="16"/>
      <c r="M25" s="16"/>
    </row>
    <row r="26" spans="2:13" ht="12.75" customHeight="1" outlineLevel="1" x14ac:dyDescent="0.2">
      <c r="B26" s="16"/>
      <c r="C26" s="18"/>
      <c r="D26" s="58"/>
      <c r="E26" s="16"/>
      <c r="F26" s="17"/>
      <c r="G26" s="19"/>
      <c r="H26" s="19"/>
      <c r="I26" s="20"/>
      <c r="J26" s="20"/>
      <c r="K26" s="16"/>
      <c r="L26" s="16"/>
      <c r="M26" s="16"/>
    </row>
    <row r="27" spans="2:13" s="148" customFormat="1" x14ac:dyDescent="0.2">
      <c r="B27" s="25">
        <v>2</v>
      </c>
      <c r="C27" s="143">
        <v>0.27500000000000002</v>
      </c>
      <c r="D27" s="154" t="s">
        <v>312</v>
      </c>
      <c r="E27" s="25"/>
      <c r="F27" s="145">
        <v>0.1</v>
      </c>
      <c r="G27" s="145">
        <v>0.1</v>
      </c>
      <c r="H27" s="146">
        <f t="shared" si="0"/>
        <v>1</v>
      </c>
      <c r="I27" s="147">
        <f t="shared" si="2"/>
        <v>0.27500000000000002</v>
      </c>
      <c r="J27" s="147">
        <v>0</v>
      </c>
      <c r="K27" s="155"/>
      <c r="L27" s="155"/>
      <c r="M27" s="145"/>
    </row>
    <row r="28" spans="2:13" s="148" customFormat="1" ht="12.75" hidden="1" customHeight="1" outlineLevel="1" x14ac:dyDescent="0.2">
      <c r="B28" s="25"/>
      <c r="C28" s="143"/>
      <c r="D28" s="144" t="s">
        <v>19</v>
      </c>
      <c r="E28" s="25" t="s">
        <v>172</v>
      </c>
      <c r="F28" s="145">
        <v>0.1</v>
      </c>
      <c r="G28" s="145">
        <v>0.32</v>
      </c>
      <c r="H28" s="146">
        <f t="shared" si="0"/>
        <v>1</v>
      </c>
      <c r="I28" s="147"/>
      <c r="J28" s="147"/>
      <c r="K28" s="25"/>
      <c r="L28" s="25"/>
      <c r="M28" s="25"/>
    </row>
    <row r="29" spans="2:13" s="148" customFormat="1" ht="12.75" hidden="1" customHeight="1" outlineLevel="1" x14ac:dyDescent="0.2">
      <c r="B29" s="25"/>
      <c r="C29" s="143"/>
      <c r="D29" s="144" t="s">
        <v>70</v>
      </c>
      <c r="E29" s="25" t="s">
        <v>212</v>
      </c>
      <c r="F29" s="156">
        <v>0.05</v>
      </c>
      <c r="G29" s="157">
        <v>0.09</v>
      </c>
      <c r="H29" s="146">
        <f>IF(G29&gt;F29,0,IF(G29&lt;0,0,G29/F29))</f>
        <v>0</v>
      </c>
      <c r="I29" s="147"/>
      <c r="J29" s="147"/>
      <c r="K29" s="25"/>
      <c r="L29" s="25"/>
      <c r="M29" s="25"/>
    </row>
    <row r="30" spans="2:13" s="148" customFormat="1" ht="12.75" hidden="1" customHeight="1" outlineLevel="1" x14ac:dyDescent="0.2">
      <c r="B30" s="25"/>
      <c r="C30" s="143"/>
      <c r="D30" s="144" t="s">
        <v>24</v>
      </c>
      <c r="E30" s="25" t="s">
        <v>216</v>
      </c>
      <c r="F30" s="145">
        <v>0.05</v>
      </c>
      <c r="G30" s="143">
        <v>0.6</v>
      </c>
      <c r="H30" s="146">
        <f t="shared" si="0"/>
        <v>1</v>
      </c>
      <c r="I30" s="147"/>
      <c r="J30" s="147"/>
      <c r="K30" s="25"/>
      <c r="L30" s="25"/>
      <c r="M30" s="25"/>
    </row>
    <row r="31" spans="2:13" ht="12.75" hidden="1" customHeight="1" outlineLevel="1" x14ac:dyDescent="0.2">
      <c r="B31" s="16"/>
      <c r="C31" s="18"/>
      <c r="D31" s="58" t="s">
        <v>313</v>
      </c>
      <c r="E31" s="16" t="s">
        <v>216</v>
      </c>
      <c r="F31" s="17">
        <v>0.05</v>
      </c>
      <c r="G31" s="18">
        <v>3.1899999999999998E-2</v>
      </c>
      <c r="H31" s="19">
        <f t="shared" si="0"/>
        <v>0.6379999999999999</v>
      </c>
      <c r="I31" s="20"/>
      <c r="J31" s="20"/>
      <c r="K31" s="16"/>
      <c r="L31" s="16"/>
      <c r="M31" s="16"/>
    </row>
    <row r="32" spans="2:13" s="148" customFormat="1" ht="12.75" hidden="1" customHeight="1" outlineLevel="1" x14ac:dyDescent="0.2">
      <c r="B32" s="25"/>
      <c r="C32" s="143"/>
      <c r="D32" s="144" t="s">
        <v>11</v>
      </c>
      <c r="E32" s="25" t="s">
        <v>172</v>
      </c>
      <c r="F32" s="145">
        <v>0.1</v>
      </c>
      <c r="G32" s="145">
        <v>-2.92</v>
      </c>
      <c r="H32" s="146">
        <f>IF(G32&gt;F32,1,IF(G32&lt;0,0,G32/F32))</f>
        <v>0</v>
      </c>
      <c r="I32" s="147"/>
      <c r="J32" s="147"/>
      <c r="K32" s="25"/>
      <c r="L32" s="25"/>
      <c r="M32" s="25"/>
    </row>
    <row r="33" spans="2:13" ht="12.75" hidden="1" customHeight="1" outlineLevel="1" x14ac:dyDescent="0.2">
      <c r="B33" s="16"/>
      <c r="C33" s="18"/>
      <c r="D33" s="58" t="s">
        <v>12</v>
      </c>
      <c r="E33" s="16" t="s">
        <v>216</v>
      </c>
      <c r="F33" s="17">
        <v>0.2</v>
      </c>
      <c r="G33" s="16">
        <v>0</v>
      </c>
      <c r="H33" s="19">
        <f t="shared" si="0"/>
        <v>0</v>
      </c>
      <c r="I33" s="20"/>
      <c r="J33" s="20"/>
      <c r="K33" s="16"/>
      <c r="L33" s="16"/>
      <c r="M33" s="16"/>
    </row>
    <row r="34" spans="2:13" s="123" customFormat="1" ht="12.75" hidden="1" customHeight="1" outlineLevel="1" x14ac:dyDescent="0.2">
      <c r="B34" s="119"/>
      <c r="C34" s="120"/>
      <c r="D34" s="121" t="s">
        <v>15</v>
      </c>
      <c r="E34" s="119" t="s">
        <v>216</v>
      </c>
      <c r="F34" s="122">
        <v>0.2</v>
      </c>
      <c r="G34" s="119"/>
      <c r="H34" s="106">
        <f t="shared" si="0"/>
        <v>0</v>
      </c>
      <c r="I34" s="22"/>
      <c r="J34" s="22"/>
      <c r="K34" s="119"/>
      <c r="L34" s="119"/>
      <c r="M34" s="119"/>
    </row>
    <row r="35" spans="2:13" s="123" customFormat="1" ht="12.75" hidden="1" customHeight="1" outlineLevel="1" x14ac:dyDescent="0.2">
      <c r="B35" s="119"/>
      <c r="C35" s="120"/>
      <c r="D35" s="121" t="s">
        <v>14</v>
      </c>
      <c r="E35" s="119" t="s">
        <v>216</v>
      </c>
      <c r="F35" s="122">
        <v>0.2</v>
      </c>
      <c r="G35" s="119"/>
      <c r="H35" s="106">
        <f t="shared" si="0"/>
        <v>0</v>
      </c>
      <c r="I35" s="22"/>
      <c r="J35" s="22"/>
      <c r="K35" s="119"/>
      <c r="L35" s="119"/>
      <c r="M35" s="119"/>
    </row>
    <row r="36" spans="2:13" ht="12.75" hidden="1" customHeight="1" outlineLevel="1" x14ac:dyDescent="0.2">
      <c r="B36" s="16"/>
      <c r="C36" s="18"/>
      <c r="D36" s="58" t="s">
        <v>79</v>
      </c>
      <c r="E36" s="16"/>
      <c r="F36" s="17">
        <v>0.05</v>
      </c>
      <c r="G36" s="16"/>
      <c r="H36" s="19">
        <f t="shared" si="0"/>
        <v>0</v>
      </c>
      <c r="I36" s="20"/>
      <c r="J36" s="20" t="s">
        <v>226</v>
      </c>
      <c r="K36" s="16"/>
      <c r="L36" s="16"/>
      <c r="M36" s="16"/>
    </row>
    <row r="37" spans="2:13" s="65" customFormat="1" ht="12.75" hidden="1" customHeight="1" outlineLevel="1" x14ac:dyDescent="0.2">
      <c r="B37" s="21"/>
      <c r="C37" s="61"/>
      <c r="D37" s="60" t="s">
        <v>314</v>
      </c>
      <c r="E37" s="21" t="s">
        <v>229</v>
      </c>
      <c r="F37" s="62">
        <v>0.13500000000000001</v>
      </c>
      <c r="G37" s="21"/>
      <c r="H37" s="63">
        <f t="shared" si="0"/>
        <v>0</v>
      </c>
      <c r="I37" s="64">
        <f t="shared" si="2"/>
        <v>0</v>
      </c>
      <c r="J37" s="20" t="s">
        <v>230</v>
      </c>
      <c r="K37" s="21"/>
      <c r="L37" s="21"/>
      <c r="M37" s="21"/>
    </row>
    <row r="38" spans="2:13" ht="12.75" hidden="1" customHeight="1" outlineLevel="1" x14ac:dyDescent="0.2">
      <c r="B38" s="16"/>
      <c r="C38" s="18"/>
      <c r="D38" s="58" t="s">
        <v>93</v>
      </c>
      <c r="E38" s="16"/>
      <c r="F38" s="17">
        <v>0.1</v>
      </c>
      <c r="G38" s="16"/>
      <c r="H38" s="19">
        <f t="shared" si="0"/>
        <v>0</v>
      </c>
      <c r="I38" s="20">
        <f>+H38*C38</f>
        <v>0</v>
      </c>
      <c r="J38" s="20" t="s">
        <v>232</v>
      </c>
      <c r="K38" s="16"/>
      <c r="L38" s="16"/>
      <c r="M38" s="16"/>
    </row>
    <row r="39" spans="2:13" s="148" customFormat="1" ht="12.75" hidden="1" customHeight="1" outlineLevel="1" x14ac:dyDescent="0.2">
      <c r="B39" s="25"/>
      <c r="C39" s="143"/>
      <c r="D39" s="158" t="s">
        <v>48</v>
      </c>
      <c r="E39" s="25" t="s">
        <v>216</v>
      </c>
      <c r="F39" s="159">
        <v>8</v>
      </c>
      <c r="G39" s="157">
        <v>4.71</v>
      </c>
      <c r="H39" s="146">
        <f>IF(G39&lt;F39,1,IF(G39&lt;0,0,G39/F39))</f>
        <v>1</v>
      </c>
      <c r="I39" s="147">
        <v>1</v>
      </c>
      <c r="J39" s="147"/>
      <c r="K39" s="25"/>
      <c r="L39" s="25"/>
      <c r="M39" s="25"/>
    </row>
    <row r="40" spans="2:13" s="123" customFormat="1" ht="12.75" hidden="1" customHeight="1" outlineLevel="1" x14ac:dyDescent="0.2">
      <c r="B40" s="119"/>
      <c r="C40" s="120"/>
      <c r="D40" s="121" t="s">
        <v>80</v>
      </c>
      <c r="E40" s="119" t="s">
        <v>235</v>
      </c>
      <c r="F40" s="122">
        <v>0.1</v>
      </c>
      <c r="G40" s="119"/>
      <c r="H40" s="106">
        <f t="shared" si="0"/>
        <v>0</v>
      </c>
      <c r="J40" s="22"/>
      <c r="K40" s="119"/>
      <c r="L40" s="119"/>
      <c r="M40" s="119"/>
    </row>
    <row r="41" spans="2:13" s="123" customFormat="1" ht="12.75" hidden="1" customHeight="1" outlineLevel="1" x14ac:dyDescent="0.2">
      <c r="B41" s="119"/>
      <c r="C41" s="120"/>
      <c r="D41" s="124" t="s">
        <v>81</v>
      </c>
      <c r="E41" s="119" t="s">
        <v>235</v>
      </c>
      <c r="F41" s="122">
        <v>0.1</v>
      </c>
      <c r="G41" s="119"/>
      <c r="H41" s="106">
        <f t="shared" si="0"/>
        <v>0</v>
      </c>
      <c r="I41" s="22" t="s">
        <v>237</v>
      </c>
      <c r="J41" s="22"/>
      <c r="K41" s="119"/>
      <c r="L41" s="119"/>
      <c r="M41" s="119"/>
    </row>
    <row r="42" spans="2:13" ht="12.75" hidden="1" customHeight="1" outlineLevel="1" x14ac:dyDescent="0.2">
      <c r="B42" s="16"/>
      <c r="C42" s="18"/>
      <c r="D42" s="58" t="s">
        <v>94</v>
      </c>
      <c r="E42" s="16"/>
      <c r="F42" s="17"/>
      <c r="G42" s="16"/>
      <c r="H42" s="19"/>
      <c r="I42" s="20"/>
      <c r="J42" s="20"/>
      <c r="K42" s="16"/>
      <c r="L42" s="16"/>
      <c r="M42" s="16"/>
    </row>
    <row r="43" spans="2:13" s="123" customFormat="1" ht="12.75" hidden="1" customHeight="1" outlineLevel="1" x14ac:dyDescent="0.2">
      <c r="B43" s="119"/>
      <c r="C43" s="120"/>
      <c r="D43" s="124" t="s">
        <v>96</v>
      </c>
      <c r="E43" s="119"/>
      <c r="F43" s="122"/>
      <c r="G43" s="119"/>
      <c r="H43" s="106"/>
      <c r="I43" s="22" t="s">
        <v>237</v>
      </c>
      <c r="J43" s="22"/>
      <c r="K43" s="119"/>
      <c r="L43" s="119"/>
      <c r="M43" s="119"/>
    </row>
    <row r="44" spans="2:13" s="148" customFormat="1" ht="12.75" hidden="1" customHeight="1" outlineLevel="1" x14ac:dyDescent="0.2">
      <c r="B44" s="25"/>
      <c r="C44" s="143"/>
      <c r="D44" s="160" t="s">
        <v>57</v>
      </c>
      <c r="E44" s="25"/>
      <c r="F44" s="145">
        <v>-0.1</v>
      </c>
      <c r="G44" s="145">
        <v>0.14000000000000001</v>
      </c>
      <c r="H44" s="146">
        <f>IF(G44&lt;F44,1,IF(G44&lt;0,0,0))</f>
        <v>0</v>
      </c>
      <c r="I44" s="147"/>
      <c r="J44" s="147"/>
      <c r="K44" s="25"/>
      <c r="L44" s="25"/>
      <c r="M44" s="25"/>
    </row>
    <row r="45" spans="2:13" s="113" customFormat="1" ht="12.75" hidden="1" customHeight="1" outlineLevel="1" x14ac:dyDescent="0.2">
      <c r="B45" s="107"/>
      <c r="C45" s="108"/>
      <c r="D45" s="125" t="s">
        <v>82</v>
      </c>
      <c r="E45" s="107" t="s">
        <v>229</v>
      </c>
      <c r="F45" s="110">
        <v>0.1</v>
      </c>
      <c r="G45" s="110">
        <v>4.66</v>
      </c>
      <c r="H45" s="111">
        <f>IF(G45&lt;F45,1,IF(G45&lt;0,0,0))</f>
        <v>0</v>
      </c>
      <c r="I45" s="112"/>
      <c r="J45" s="112"/>
      <c r="K45" s="107"/>
      <c r="L45" s="107"/>
      <c r="M45" s="107"/>
    </row>
    <row r="46" spans="2:13" s="148" customFormat="1" ht="12.75" hidden="1" customHeight="1" outlineLevel="1" x14ac:dyDescent="0.2">
      <c r="B46" s="25"/>
      <c r="C46" s="143"/>
      <c r="D46" s="160" t="s">
        <v>104</v>
      </c>
      <c r="E46" s="25" t="s">
        <v>229</v>
      </c>
      <c r="F46" s="145">
        <v>0.03</v>
      </c>
      <c r="G46" s="145">
        <v>7.0000000000000007E-2</v>
      </c>
      <c r="H46" s="146">
        <f>IF(G46&lt;F46,1,IF(G46&lt;0,0,0))</f>
        <v>0</v>
      </c>
      <c r="I46" s="147"/>
      <c r="J46" s="147"/>
      <c r="K46" s="25"/>
      <c r="L46" s="25"/>
      <c r="M46" s="25"/>
    </row>
    <row r="47" spans="2:13" s="148" customFormat="1" ht="12" hidden="1" customHeight="1" outlineLevel="1" x14ac:dyDescent="0.2">
      <c r="B47" s="25"/>
      <c r="C47" s="143"/>
      <c r="D47" s="160" t="s">
        <v>106</v>
      </c>
      <c r="E47" s="25"/>
      <c r="F47" s="145">
        <v>0.1</v>
      </c>
      <c r="G47" s="143">
        <v>-5.0000000000000001E-4</v>
      </c>
      <c r="H47" s="146">
        <f>IF(G47&gt;F47,1,IF(G47&lt;0,0,0))</f>
        <v>0</v>
      </c>
      <c r="I47" s="147"/>
      <c r="J47" s="147"/>
      <c r="K47" s="25"/>
      <c r="L47" s="25"/>
      <c r="M47" s="25"/>
    </row>
    <row r="48" spans="2:13" s="148" customFormat="1" ht="12.75" hidden="1" customHeight="1" outlineLevel="1" x14ac:dyDescent="0.2">
      <c r="B48" s="25"/>
      <c r="C48" s="143"/>
      <c r="D48" s="160" t="s">
        <v>44</v>
      </c>
      <c r="E48" s="25"/>
      <c r="F48" s="145">
        <v>0.1</v>
      </c>
      <c r="G48" s="145">
        <v>0.1</v>
      </c>
      <c r="H48" s="146">
        <v>1</v>
      </c>
      <c r="I48" s="147"/>
      <c r="J48" s="147"/>
      <c r="K48" s="25"/>
      <c r="L48" s="25"/>
      <c r="M48" s="25"/>
    </row>
    <row r="49" spans="2:13" s="148" customFormat="1" ht="12.75" hidden="1" customHeight="1" outlineLevel="1" x14ac:dyDescent="0.2">
      <c r="B49" s="25"/>
      <c r="C49" s="143"/>
      <c r="D49" s="160" t="s">
        <v>62</v>
      </c>
      <c r="E49" s="25"/>
      <c r="F49" s="145">
        <v>0.1</v>
      </c>
      <c r="G49" s="145">
        <v>0.1</v>
      </c>
      <c r="H49" s="146">
        <v>1</v>
      </c>
      <c r="I49" s="147"/>
      <c r="J49" s="147"/>
      <c r="K49" s="25"/>
      <c r="L49" s="25"/>
      <c r="M49" s="25"/>
    </row>
    <row r="50" spans="2:13" s="148" customFormat="1" collapsed="1" x14ac:dyDescent="0.2">
      <c r="B50" s="25">
        <v>3</v>
      </c>
      <c r="C50" s="143">
        <v>0.05</v>
      </c>
      <c r="D50" s="154" t="s">
        <v>250</v>
      </c>
      <c r="E50" s="25"/>
      <c r="F50" s="145">
        <v>1</v>
      </c>
      <c r="G50" s="145">
        <v>1</v>
      </c>
      <c r="H50" s="146">
        <f t="shared" si="0"/>
        <v>1</v>
      </c>
      <c r="I50" s="147">
        <f t="shared" si="2"/>
        <v>0.05</v>
      </c>
      <c r="J50" s="147" t="s">
        <v>251</v>
      </c>
      <c r="K50" s="25"/>
      <c r="L50" s="25"/>
      <c r="M50" s="25">
        <v>0</v>
      </c>
    </row>
    <row r="51" spans="2:13" s="148" customFormat="1" ht="12.75" hidden="1" customHeight="1" outlineLevel="1" x14ac:dyDescent="0.2">
      <c r="B51" s="25"/>
      <c r="C51" s="143"/>
      <c r="D51" s="144" t="s">
        <v>252</v>
      </c>
      <c r="E51" s="25"/>
      <c r="F51" s="149">
        <v>0</v>
      </c>
      <c r="G51" s="149">
        <v>0</v>
      </c>
      <c r="H51" s="146">
        <v>1</v>
      </c>
      <c r="I51" s="147">
        <f t="shared" si="2"/>
        <v>0</v>
      </c>
      <c r="J51" s="147"/>
      <c r="K51" s="25"/>
      <c r="L51" s="25"/>
      <c r="M51" s="25"/>
    </row>
    <row r="52" spans="2:13" s="148" customFormat="1" ht="12.75" hidden="1" customHeight="1" outlineLevel="1" x14ac:dyDescent="0.2">
      <c r="B52" s="25"/>
      <c r="C52" s="143"/>
      <c r="D52" s="144" t="s">
        <v>253</v>
      </c>
      <c r="E52" s="25"/>
      <c r="F52" s="161">
        <v>0</v>
      </c>
      <c r="G52" s="149">
        <v>0</v>
      </c>
      <c r="H52" s="146">
        <v>1</v>
      </c>
      <c r="I52" s="147">
        <f t="shared" si="2"/>
        <v>0</v>
      </c>
      <c r="J52" s="147"/>
      <c r="K52" s="25"/>
      <c r="L52" s="25"/>
      <c r="M52" s="25"/>
    </row>
    <row r="53" spans="2:13" s="148" customFormat="1" ht="12.75" hidden="1" customHeight="1" outlineLevel="1" x14ac:dyDescent="0.2">
      <c r="B53" s="25"/>
      <c r="C53" s="143"/>
      <c r="D53" s="144" t="s">
        <v>254</v>
      </c>
      <c r="E53" s="25"/>
      <c r="F53" s="161">
        <v>0</v>
      </c>
      <c r="G53" s="149">
        <v>0</v>
      </c>
      <c r="H53" s="146">
        <v>1</v>
      </c>
      <c r="I53" s="147">
        <f t="shared" si="2"/>
        <v>0</v>
      </c>
      <c r="J53" s="147"/>
      <c r="K53" s="25"/>
      <c r="L53" s="25"/>
      <c r="M53" s="25"/>
    </row>
    <row r="54" spans="2:13" s="148" customFormat="1" ht="12.75" hidden="1" customHeight="1" outlineLevel="1" x14ac:dyDescent="0.2">
      <c r="B54" s="25"/>
      <c r="C54" s="143"/>
      <c r="D54" s="144" t="s">
        <v>255</v>
      </c>
      <c r="E54" s="25"/>
      <c r="F54" s="161">
        <v>0</v>
      </c>
      <c r="G54" s="149">
        <v>0</v>
      </c>
      <c r="H54" s="146">
        <v>1</v>
      </c>
      <c r="I54" s="147">
        <f t="shared" si="2"/>
        <v>0</v>
      </c>
      <c r="J54" s="147"/>
      <c r="K54" s="25"/>
      <c r="L54" s="25"/>
      <c r="M54" s="25"/>
    </row>
    <row r="55" spans="2:13" s="148" customFormat="1" ht="12.75" hidden="1" customHeight="1" outlineLevel="1" x14ac:dyDescent="0.2">
      <c r="B55" s="25"/>
      <c r="C55" s="143"/>
      <c r="D55" s="144" t="s">
        <v>20</v>
      </c>
      <c r="E55" s="25"/>
      <c r="F55" s="161">
        <v>0</v>
      </c>
      <c r="G55" s="145"/>
      <c r="H55" s="146">
        <v>1</v>
      </c>
      <c r="I55" s="147">
        <f t="shared" si="2"/>
        <v>0</v>
      </c>
      <c r="J55" s="147"/>
      <c r="K55" s="25"/>
      <c r="L55" s="25"/>
      <c r="M55" s="25"/>
    </row>
    <row r="56" spans="2:13" s="148" customFormat="1" ht="12.75" hidden="1" customHeight="1" outlineLevel="1" x14ac:dyDescent="0.2">
      <c r="B56" s="25"/>
      <c r="C56" s="143"/>
      <c r="D56" s="144" t="s">
        <v>30</v>
      </c>
      <c r="E56" s="25" t="s">
        <v>256</v>
      </c>
      <c r="F56" s="149">
        <v>6</v>
      </c>
      <c r="G56" s="149">
        <v>6</v>
      </c>
      <c r="H56" s="146">
        <f>IF(G56&gt;F56,1,IF(G56&lt;0,0,G56/F56))</f>
        <v>1</v>
      </c>
      <c r="I56" s="147"/>
      <c r="J56" s="147"/>
      <c r="K56" s="25"/>
      <c r="L56" s="25"/>
      <c r="M56" s="25"/>
    </row>
    <row r="57" spans="2:13" s="148" customFormat="1" ht="12.75" hidden="1" customHeight="1" outlineLevel="1" x14ac:dyDescent="0.2">
      <c r="B57" s="25"/>
      <c r="C57" s="143"/>
      <c r="D57" s="144" t="s">
        <v>64</v>
      </c>
      <c r="E57" s="25" t="s">
        <v>256</v>
      </c>
      <c r="F57" s="149">
        <v>1</v>
      </c>
      <c r="G57" s="149">
        <v>1</v>
      </c>
      <c r="H57" s="146">
        <f>IF(G57&gt;F57,1,IF(G57&lt;0,0,G57/F57))</f>
        <v>1</v>
      </c>
      <c r="I57" s="147"/>
      <c r="J57" s="147"/>
      <c r="K57" s="25"/>
      <c r="L57" s="25"/>
      <c r="M57" s="25"/>
    </row>
    <row r="58" spans="2:13" s="148" customFormat="1" ht="12.75" hidden="1" customHeight="1" outlineLevel="1" x14ac:dyDescent="0.2">
      <c r="B58" s="25"/>
      <c r="C58" s="143"/>
      <c r="D58" s="144" t="s">
        <v>58</v>
      </c>
      <c r="E58" s="25"/>
      <c r="F58" s="145"/>
      <c r="G58" s="145"/>
      <c r="H58" s="146"/>
      <c r="I58" s="147"/>
      <c r="J58" s="147"/>
      <c r="K58" s="25"/>
      <c r="L58" s="25"/>
      <c r="M58" s="25"/>
    </row>
    <row r="59" spans="2:13" s="168" customFormat="1" ht="12.75" hidden="1" customHeight="1" outlineLevel="1" x14ac:dyDescent="0.2">
      <c r="B59" s="162"/>
      <c r="C59" s="163"/>
      <c r="D59" s="164" t="s">
        <v>105</v>
      </c>
      <c r="E59" s="162" t="s">
        <v>229</v>
      </c>
      <c r="F59" s="165">
        <v>0.1</v>
      </c>
      <c r="G59" s="165">
        <v>0.06</v>
      </c>
      <c r="H59" s="166">
        <v>0</v>
      </c>
      <c r="I59" s="167"/>
      <c r="J59" s="167"/>
      <c r="K59" s="162"/>
      <c r="L59" s="162"/>
      <c r="M59" s="162"/>
    </row>
    <row r="60" spans="2:13" ht="12.75" hidden="1" customHeight="1" outlineLevel="1" x14ac:dyDescent="0.2">
      <c r="B60" s="16"/>
      <c r="C60" s="18"/>
      <c r="D60" s="58" t="s">
        <v>119</v>
      </c>
      <c r="E60" s="16"/>
      <c r="F60" s="17">
        <v>0.1</v>
      </c>
      <c r="G60" s="17">
        <v>1</v>
      </c>
      <c r="H60" s="106">
        <v>1</v>
      </c>
      <c r="I60" s="20"/>
      <c r="J60" s="20"/>
      <c r="K60" s="16"/>
      <c r="L60" s="16"/>
      <c r="M60" s="16"/>
    </row>
    <row r="61" spans="2:13" ht="12.75" hidden="1" customHeight="1" outlineLevel="1" x14ac:dyDescent="0.2">
      <c r="B61" s="16"/>
      <c r="C61" s="18"/>
      <c r="D61" s="32" t="s">
        <v>109</v>
      </c>
      <c r="E61" s="16"/>
      <c r="F61" s="50">
        <v>0.995</v>
      </c>
      <c r="G61" s="17">
        <v>1</v>
      </c>
      <c r="H61" s="19">
        <v>1</v>
      </c>
      <c r="I61" s="20"/>
      <c r="J61" s="20"/>
      <c r="K61" s="16"/>
      <c r="L61" s="16"/>
      <c r="M61" s="16"/>
    </row>
    <row r="62" spans="2:13" collapsed="1" x14ac:dyDescent="0.2">
      <c r="B62" s="16">
        <v>4</v>
      </c>
      <c r="C62" s="18">
        <v>0.1</v>
      </c>
      <c r="D62" s="32" t="s">
        <v>18</v>
      </c>
      <c r="E62" s="16"/>
      <c r="F62" s="17">
        <v>0.1</v>
      </c>
      <c r="G62" s="17">
        <v>0.1</v>
      </c>
      <c r="H62" s="19">
        <f t="shared" si="0"/>
        <v>1</v>
      </c>
      <c r="I62" s="20">
        <f t="shared" si="2"/>
        <v>0.1</v>
      </c>
      <c r="J62" s="20"/>
      <c r="K62" s="16"/>
      <c r="L62" s="16"/>
      <c r="M62" s="16"/>
    </row>
    <row r="63" spans="2:13" hidden="1" x14ac:dyDescent="0.2">
      <c r="B63" s="16"/>
      <c r="C63" s="18"/>
      <c r="D63" s="32"/>
      <c r="E63" s="16"/>
      <c r="F63" s="17"/>
      <c r="G63" s="17"/>
      <c r="H63" s="19"/>
      <c r="I63" s="20"/>
      <c r="J63" s="20"/>
      <c r="K63" s="16"/>
      <c r="L63" s="16"/>
      <c r="M63" s="16"/>
    </row>
    <row r="64" spans="2:13" hidden="1" x14ac:dyDescent="0.2">
      <c r="B64" s="16"/>
      <c r="C64" s="18"/>
      <c r="D64" s="32">
        <v>0.5</v>
      </c>
      <c r="E64" s="16"/>
      <c r="F64" s="17"/>
      <c r="G64" s="17"/>
      <c r="H64" s="19"/>
      <c r="I64" s="20"/>
      <c r="J64" s="20"/>
      <c r="K64" s="16"/>
      <c r="L64" s="16"/>
      <c r="M64" s="16"/>
    </row>
    <row r="65" spans="2:13" hidden="1" x14ac:dyDescent="0.2">
      <c r="B65" s="16"/>
      <c r="C65" s="18"/>
      <c r="D65" s="32"/>
      <c r="E65" s="16"/>
      <c r="F65" s="17"/>
      <c r="G65" s="17"/>
      <c r="H65" s="19"/>
      <c r="I65" s="20"/>
      <c r="J65" s="20"/>
      <c r="K65" s="16"/>
      <c r="L65" s="16"/>
      <c r="M65" s="16"/>
    </row>
    <row r="66" spans="2:13" hidden="1" x14ac:dyDescent="0.2">
      <c r="B66" s="16"/>
      <c r="C66" s="18"/>
      <c r="D66" s="32"/>
      <c r="E66" s="16"/>
      <c r="F66" s="17"/>
      <c r="G66" s="17"/>
      <c r="H66" s="19"/>
      <c r="I66" s="20"/>
      <c r="J66" s="20"/>
      <c r="K66" s="16"/>
      <c r="L66" s="16"/>
      <c r="M66" s="16"/>
    </row>
    <row r="67" spans="2:13" s="103" customFormat="1" x14ac:dyDescent="0.2">
      <c r="B67" s="97">
        <v>5</v>
      </c>
      <c r="C67" s="98">
        <v>0.1</v>
      </c>
      <c r="D67" s="99" t="s">
        <v>37</v>
      </c>
      <c r="E67" s="97"/>
      <c r="F67" s="100">
        <v>3700</v>
      </c>
      <c r="G67" s="100">
        <v>3932</v>
      </c>
      <c r="H67" s="101">
        <f t="shared" si="0"/>
        <v>1</v>
      </c>
      <c r="I67" s="102">
        <f t="shared" si="2"/>
        <v>0.1</v>
      </c>
      <c r="J67" s="102" t="s">
        <v>257</v>
      </c>
      <c r="K67" s="97" t="s">
        <v>258</v>
      </c>
      <c r="L67" s="97" t="s">
        <v>259</v>
      </c>
      <c r="M67" s="97" t="s">
        <v>260</v>
      </c>
    </row>
    <row r="68" spans="2:13" s="148" customFormat="1" ht="12.75" hidden="1" customHeight="1" outlineLevel="1" x14ac:dyDescent="0.2">
      <c r="B68" s="25"/>
      <c r="C68" s="143"/>
      <c r="D68" s="144" t="s">
        <v>111</v>
      </c>
      <c r="E68" s="25"/>
      <c r="F68" s="149">
        <f>+F67</f>
        <v>3700</v>
      </c>
      <c r="G68" s="149">
        <f>+G67</f>
        <v>3932</v>
      </c>
      <c r="H68" s="146">
        <f t="shared" si="0"/>
        <v>1</v>
      </c>
      <c r="I68" s="147"/>
      <c r="J68" s="147"/>
      <c r="K68" s="25"/>
      <c r="L68" s="25"/>
      <c r="M68" s="25"/>
    </row>
    <row r="69" spans="2:13" s="148" customFormat="1" ht="12.75" hidden="1" customHeight="1" outlineLevel="1" x14ac:dyDescent="0.2">
      <c r="B69" s="25"/>
      <c r="C69" s="143">
        <v>0.08</v>
      </c>
      <c r="D69" s="144" t="s">
        <v>261</v>
      </c>
      <c r="E69" s="25"/>
      <c r="F69" s="25">
        <v>4500</v>
      </c>
      <c r="G69" s="25">
        <v>4782</v>
      </c>
      <c r="H69" s="146">
        <f t="shared" si="0"/>
        <v>1</v>
      </c>
      <c r="I69" s="147">
        <f t="shared" si="2"/>
        <v>0.08</v>
      </c>
      <c r="J69" s="147"/>
      <c r="K69" s="25"/>
      <c r="L69" s="25"/>
      <c r="M69" s="25"/>
    </row>
    <row r="70" spans="2:13" s="148" customFormat="1" ht="12.75" hidden="1" customHeight="1" outlineLevel="1" x14ac:dyDescent="0.2">
      <c r="B70" s="25"/>
      <c r="C70" s="143">
        <v>0.12</v>
      </c>
      <c r="D70" s="144" t="s">
        <v>60</v>
      </c>
      <c r="E70" s="25"/>
      <c r="F70" s="25">
        <v>4000</v>
      </c>
      <c r="G70" s="25">
        <v>4268</v>
      </c>
      <c r="H70" s="146">
        <f>IF(G70&gt;F70,1,0)</f>
        <v>1</v>
      </c>
      <c r="I70" s="147">
        <f t="shared" si="2"/>
        <v>0.12</v>
      </c>
      <c r="J70" s="147"/>
      <c r="K70" s="25"/>
      <c r="L70" s="25"/>
      <c r="M70" s="25"/>
    </row>
    <row r="71" spans="2:13" s="148" customFormat="1" ht="12.75" hidden="1" customHeight="1" outlineLevel="1" x14ac:dyDescent="0.2">
      <c r="B71" s="25"/>
      <c r="C71" s="143">
        <v>0.1</v>
      </c>
      <c r="D71" s="144" t="s">
        <v>112</v>
      </c>
      <c r="E71" s="25"/>
      <c r="F71" s="25">
        <v>3800</v>
      </c>
      <c r="G71" s="25">
        <v>3501</v>
      </c>
      <c r="H71" s="146">
        <f t="shared" ref="H71:H73" si="3">IF(G71&gt;F71,1,0)</f>
        <v>0</v>
      </c>
      <c r="I71" s="147">
        <f t="shared" si="2"/>
        <v>0</v>
      </c>
      <c r="J71" s="147"/>
      <c r="K71" s="25"/>
      <c r="L71" s="25"/>
      <c r="M71" s="25"/>
    </row>
    <row r="72" spans="2:13" s="148" customFormat="1" ht="12.75" hidden="1" customHeight="1" outlineLevel="1" x14ac:dyDescent="0.2">
      <c r="B72" s="25"/>
      <c r="C72" s="143">
        <v>0.7</v>
      </c>
      <c r="D72" s="144" t="s">
        <v>262</v>
      </c>
      <c r="E72" s="25"/>
      <c r="F72" s="25">
        <v>3500</v>
      </c>
      <c r="G72" s="169">
        <v>2429</v>
      </c>
      <c r="H72" s="146">
        <f t="shared" si="3"/>
        <v>0</v>
      </c>
      <c r="I72" s="147">
        <f t="shared" si="2"/>
        <v>0</v>
      </c>
      <c r="J72" s="147" t="s">
        <v>263</v>
      </c>
      <c r="K72" s="25"/>
      <c r="L72" s="25"/>
      <c r="M72" s="25"/>
    </row>
    <row r="73" spans="2:13" s="148" customFormat="1" ht="12.75" hidden="1" customHeight="1" outlineLevel="1" x14ac:dyDescent="0.2">
      <c r="B73" s="25"/>
      <c r="C73" s="143"/>
      <c r="D73" s="144" t="s">
        <v>113</v>
      </c>
      <c r="E73" s="25"/>
      <c r="F73" s="25">
        <f>+F72</f>
        <v>3500</v>
      </c>
      <c r="G73" s="25">
        <v>2144</v>
      </c>
      <c r="H73" s="146">
        <f t="shared" si="3"/>
        <v>0</v>
      </c>
      <c r="I73" s="147"/>
      <c r="J73" s="147"/>
      <c r="K73" s="25"/>
      <c r="L73" s="25"/>
      <c r="M73" s="25"/>
    </row>
    <row r="74" spans="2:13" s="148" customFormat="1" ht="12.75" hidden="1" customHeight="1" outlineLevel="1" x14ac:dyDescent="0.2">
      <c r="B74" s="25"/>
      <c r="C74" s="143"/>
      <c r="D74" s="144" t="s">
        <v>114</v>
      </c>
      <c r="E74" s="25"/>
      <c r="F74" s="25">
        <f>+F72</f>
        <v>3500</v>
      </c>
      <c r="G74" s="25">
        <v>2560</v>
      </c>
      <c r="H74" s="146">
        <f>IF(G74&gt;F74,1,0)</f>
        <v>0</v>
      </c>
      <c r="I74" s="147"/>
      <c r="J74" s="147"/>
      <c r="K74" s="25"/>
      <c r="L74" s="25"/>
      <c r="M74" s="25"/>
    </row>
    <row r="75" spans="2:13" s="148" customFormat="1" ht="12.75" hidden="1" customHeight="1" outlineLevel="1" x14ac:dyDescent="0.2">
      <c r="B75" s="25"/>
      <c r="C75" s="143"/>
      <c r="D75" s="144" t="s">
        <v>116</v>
      </c>
      <c r="E75" s="25"/>
      <c r="F75" s="25">
        <f>+F72</f>
        <v>3500</v>
      </c>
      <c r="G75" s="25">
        <v>2923</v>
      </c>
      <c r="H75" s="146">
        <f>IF(G75&gt;F75,1,0)</f>
        <v>0</v>
      </c>
      <c r="I75" s="147"/>
      <c r="J75" s="147"/>
      <c r="K75" s="25"/>
      <c r="L75" s="25"/>
      <c r="M75" s="25"/>
    </row>
    <row r="76" spans="2:13" s="148" customFormat="1" ht="12.75" hidden="1" customHeight="1" outlineLevel="1" x14ac:dyDescent="0.2">
      <c r="B76" s="25"/>
      <c r="C76" s="143"/>
      <c r="D76" s="144" t="s">
        <v>115</v>
      </c>
      <c r="E76" s="25"/>
      <c r="F76" s="25">
        <f>+F72</f>
        <v>3500</v>
      </c>
      <c r="G76" s="25">
        <v>3165</v>
      </c>
      <c r="H76" s="146">
        <f t="shared" ref="H76:H80" si="4">IF(G76&gt;F76,1,0)</f>
        <v>0</v>
      </c>
      <c r="I76" s="147"/>
      <c r="J76" s="147"/>
      <c r="K76" s="25"/>
      <c r="L76" s="25"/>
      <c r="M76" s="25"/>
    </row>
    <row r="77" spans="2:13" s="148" customFormat="1" ht="12.75" hidden="1" customHeight="1" outlineLevel="1" x14ac:dyDescent="0.2">
      <c r="B77" s="25"/>
      <c r="C77" s="143"/>
      <c r="D77" s="144" t="s">
        <v>117</v>
      </c>
      <c r="E77" s="25"/>
      <c r="F77" s="25">
        <f>+F72</f>
        <v>3500</v>
      </c>
      <c r="G77" s="25">
        <v>2234</v>
      </c>
      <c r="H77" s="146">
        <f t="shared" si="4"/>
        <v>0</v>
      </c>
      <c r="I77" s="147"/>
      <c r="J77" s="147"/>
      <c r="K77" s="25"/>
      <c r="L77" s="25"/>
      <c r="M77" s="25"/>
    </row>
    <row r="78" spans="2:13" s="148" customFormat="1" ht="12.75" hidden="1" customHeight="1" outlineLevel="1" x14ac:dyDescent="0.2">
      <c r="B78" s="25"/>
      <c r="C78" s="143"/>
      <c r="D78" s="144" t="s">
        <v>118</v>
      </c>
      <c r="E78" s="25"/>
      <c r="F78" s="25">
        <f>+F73</f>
        <v>3500</v>
      </c>
      <c r="G78" s="25">
        <v>1551</v>
      </c>
      <c r="H78" s="146">
        <f t="shared" si="4"/>
        <v>0</v>
      </c>
      <c r="I78" s="147"/>
      <c r="J78" s="147"/>
      <c r="K78" s="25"/>
      <c r="L78" s="25"/>
      <c r="M78" s="25"/>
    </row>
    <row r="79" spans="2:13" s="148" customFormat="1" ht="12.75" hidden="1" customHeight="1" outlineLevel="1" x14ac:dyDescent="0.2">
      <c r="B79" s="25"/>
      <c r="C79" s="143"/>
      <c r="D79" s="144" t="s">
        <v>36</v>
      </c>
      <c r="E79" s="25"/>
      <c r="F79" s="145">
        <v>0.9</v>
      </c>
      <c r="G79" s="145">
        <v>0.82</v>
      </c>
      <c r="H79" s="146">
        <f>IF(G79&gt;F79,1,G79/F79)</f>
        <v>0.91111111111111098</v>
      </c>
      <c r="I79" s="147"/>
      <c r="J79" s="147"/>
      <c r="K79" s="25"/>
      <c r="L79" s="25"/>
      <c r="M79" s="25"/>
    </row>
    <row r="80" spans="2:13" s="148" customFormat="1" ht="12" hidden="1" customHeight="1" outlineLevel="1" x14ac:dyDescent="0.2">
      <c r="B80" s="25"/>
      <c r="C80" s="143"/>
      <c r="D80" s="144" t="s">
        <v>45</v>
      </c>
      <c r="E80" s="25"/>
      <c r="F80" s="149">
        <v>4</v>
      </c>
      <c r="G80" s="149">
        <v>6</v>
      </c>
      <c r="H80" s="146">
        <f t="shared" si="4"/>
        <v>1</v>
      </c>
      <c r="I80" s="147"/>
      <c r="J80" s="147"/>
      <c r="K80" s="25"/>
      <c r="L80" s="25"/>
      <c r="M80" s="25"/>
    </row>
    <row r="81" spans="2:13" s="148" customFormat="1" ht="12.75" hidden="1" customHeight="1" outlineLevel="1" x14ac:dyDescent="0.2">
      <c r="B81" s="25"/>
      <c r="C81" s="143"/>
      <c r="D81" s="144" t="s">
        <v>121</v>
      </c>
      <c r="E81" s="25" t="s">
        <v>264</v>
      </c>
      <c r="F81" s="169">
        <f>(410915.3+434042.5)/2*1.2</f>
        <v>506974.68</v>
      </c>
      <c r="G81" s="149">
        <v>485973.6</v>
      </c>
      <c r="H81" s="146">
        <f>IF(G81&gt;F81,1,IF(G81&lt;0,0,G81/F81-1))</f>
        <v>-4.1424317285431278E-2</v>
      </c>
      <c r="I81" s="147"/>
      <c r="J81" s="147"/>
      <c r="K81" s="25"/>
      <c r="L81" s="25"/>
      <c r="M81" s="25"/>
    </row>
    <row r="82" spans="2:13" ht="12.75" hidden="1" customHeight="1" outlineLevel="1" x14ac:dyDescent="0.2">
      <c r="B82" s="16"/>
      <c r="C82" s="18"/>
      <c r="D82" s="58" t="s">
        <v>265</v>
      </c>
      <c r="E82" s="16"/>
      <c r="F82" s="59">
        <v>100000</v>
      </c>
      <c r="G82" s="26"/>
      <c r="H82" s="19"/>
      <c r="I82" s="20"/>
      <c r="J82" s="20"/>
      <c r="K82" s="16"/>
      <c r="L82" s="16"/>
      <c r="M82" s="16"/>
    </row>
    <row r="83" spans="2:13" ht="12.75" hidden="1" customHeight="1" outlineLevel="1" x14ac:dyDescent="0.2">
      <c r="B83" s="16"/>
      <c r="C83" s="18"/>
      <c r="D83" s="58" t="s">
        <v>266</v>
      </c>
      <c r="E83" s="16" t="s">
        <v>267</v>
      </c>
      <c r="F83" s="59">
        <v>100000</v>
      </c>
      <c r="G83" s="26"/>
      <c r="H83" s="19"/>
      <c r="I83" s="20"/>
      <c r="J83" s="20"/>
      <c r="K83" s="16"/>
      <c r="L83" s="16"/>
      <c r="M83" s="16"/>
    </row>
    <row r="84" spans="2:13" ht="12.75" hidden="1" customHeight="1" outlineLevel="1" x14ac:dyDescent="0.2">
      <c r="B84" s="16"/>
      <c r="C84" s="18"/>
      <c r="D84" s="58" t="s">
        <v>268</v>
      </c>
      <c r="E84" s="16"/>
      <c r="F84" s="59">
        <v>100000</v>
      </c>
      <c r="G84" s="26"/>
      <c r="H84" s="19"/>
      <c r="I84" s="20"/>
      <c r="J84" s="20"/>
      <c r="K84" s="16"/>
      <c r="L84" s="16"/>
      <c r="M84" s="16"/>
    </row>
    <row r="85" spans="2:13" ht="12.75" hidden="1" customHeight="1" outlineLevel="1" x14ac:dyDescent="0.2">
      <c r="B85" s="16"/>
      <c r="C85" s="18"/>
      <c r="D85" s="58" t="s">
        <v>269</v>
      </c>
      <c r="E85" s="16"/>
      <c r="F85" s="59">
        <v>100000</v>
      </c>
      <c r="G85" s="26"/>
      <c r="H85" s="19"/>
      <c r="I85" s="20"/>
      <c r="J85" s="20"/>
      <c r="K85" s="16"/>
      <c r="L85" s="16"/>
      <c r="M85" s="16"/>
    </row>
    <row r="86" spans="2:13" ht="12.75" hidden="1" customHeight="1" outlineLevel="1" x14ac:dyDescent="0.2">
      <c r="B86" s="16"/>
      <c r="C86" s="18"/>
      <c r="D86" s="58" t="s">
        <v>270</v>
      </c>
      <c r="E86" s="16"/>
      <c r="F86" s="59">
        <v>100000</v>
      </c>
      <c r="G86" s="26"/>
      <c r="H86" s="19"/>
      <c r="I86" s="20"/>
      <c r="J86" s="20"/>
      <c r="K86" s="16"/>
      <c r="L86" s="16"/>
      <c r="M86" s="16"/>
    </row>
    <row r="87" spans="2:13" ht="12.75" hidden="1" customHeight="1" outlineLevel="1" x14ac:dyDescent="0.2">
      <c r="B87" s="16"/>
      <c r="C87" s="18"/>
      <c r="D87" s="58" t="s">
        <v>271</v>
      </c>
      <c r="E87" s="16" t="s">
        <v>264</v>
      </c>
      <c r="F87" s="26">
        <v>0.2</v>
      </c>
      <c r="G87" s="26"/>
      <c r="H87" s="19"/>
      <c r="I87" s="20"/>
      <c r="J87" s="20"/>
      <c r="K87" s="16"/>
      <c r="L87" s="16"/>
      <c r="M87" s="16"/>
    </row>
    <row r="88" spans="2:13" s="148" customFormat="1" ht="12.75" hidden="1" customHeight="1" outlineLevel="1" x14ac:dyDescent="0.2">
      <c r="B88" s="25"/>
      <c r="C88" s="143"/>
      <c r="D88" s="144" t="s">
        <v>59</v>
      </c>
      <c r="E88" s="25" t="s">
        <v>264</v>
      </c>
      <c r="F88" s="149">
        <v>0.2</v>
      </c>
      <c r="G88" s="149">
        <v>0</v>
      </c>
      <c r="H88" s="146">
        <f>IF(G88&gt;F88,0,IF(G88&lt;0,0,G88/F88))</f>
        <v>0</v>
      </c>
      <c r="I88" s="147"/>
      <c r="J88" s="147"/>
      <c r="K88" s="25"/>
      <c r="L88" s="25"/>
      <c r="M88" s="25"/>
    </row>
    <row r="89" spans="2:13" s="148" customFormat="1" ht="12.75" hidden="1" customHeight="1" outlineLevel="1" x14ac:dyDescent="0.2">
      <c r="B89" s="25"/>
      <c r="C89" s="143"/>
      <c r="D89" s="144" t="s">
        <v>83</v>
      </c>
      <c r="E89" s="25" t="s">
        <v>272</v>
      </c>
      <c r="F89" s="149">
        <v>1</v>
      </c>
      <c r="G89" s="149">
        <v>0</v>
      </c>
      <c r="H89" s="146">
        <v>1</v>
      </c>
      <c r="I89" s="147"/>
      <c r="J89" s="147"/>
      <c r="K89" s="25"/>
      <c r="L89" s="25"/>
      <c r="M89" s="25"/>
    </row>
    <row r="90" spans="2:13" s="148" customFormat="1" ht="12.75" hidden="1" customHeight="1" outlineLevel="1" x14ac:dyDescent="0.2">
      <c r="B90" s="25"/>
      <c r="C90" s="143"/>
      <c r="D90" s="144" t="s">
        <v>110</v>
      </c>
      <c r="E90" s="170" t="s">
        <v>273</v>
      </c>
      <c r="F90" s="149">
        <v>0.2</v>
      </c>
      <c r="G90" s="149">
        <v>-0.32</v>
      </c>
      <c r="H90" s="146">
        <v>0</v>
      </c>
      <c r="I90" s="171">
        <f>+F90/1.2</f>
        <v>0.16666666666666669</v>
      </c>
      <c r="J90" s="147">
        <v>0.2</v>
      </c>
      <c r="K90" s="25"/>
      <c r="L90" s="25"/>
      <c r="M90" s="25"/>
    </row>
    <row r="91" spans="2:13" ht="12.75" hidden="1" customHeight="1" outlineLevel="1" x14ac:dyDescent="0.2">
      <c r="B91" s="16"/>
      <c r="C91" s="18"/>
      <c r="D91" s="67" t="s">
        <v>274</v>
      </c>
      <c r="E91" s="49" t="s">
        <v>273</v>
      </c>
      <c r="F91" s="26"/>
      <c r="G91" s="26"/>
      <c r="H91" s="19"/>
      <c r="I91" s="20"/>
      <c r="J91" s="20"/>
      <c r="K91" s="16"/>
      <c r="L91" s="16"/>
      <c r="M91" s="16"/>
    </row>
    <row r="92" spans="2:13" ht="12.75" hidden="1" customHeight="1" outlineLevel="1" x14ac:dyDescent="0.2">
      <c r="B92" s="16"/>
      <c r="C92" s="18"/>
      <c r="D92" s="67" t="s">
        <v>275</v>
      </c>
      <c r="E92" s="49" t="s">
        <v>273</v>
      </c>
      <c r="F92" s="26"/>
      <c r="G92" s="26"/>
      <c r="H92" s="19"/>
      <c r="I92" s="20"/>
      <c r="J92" s="20"/>
      <c r="K92" s="16"/>
      <c r="L92" s="16"/>
      <c r="M92" s="16"/>
    </row>
    <row r="93" spans="2:13" ht="12.75" hidden="1" customHeight="1" outlineLevel="1" x14ac:dyDescent="0.2">
      <c r="B93" s="16"/>
      <c r="C93" s="18"/>
      <c r="D93" s="67" t="s">
        <v>276</v>
      </c>
      <c r="E93" s="49" t="s">
        <v>273</v>
      </c>
      <c r="F93" s="26"/>
      <c r="G93" s="26"/>
      <c r="H93" s="19"/>
      <c r="I93" s="20"/>
      <c r="J93" s="20"/>
      <c r="K93" s="16"/>
      <c r="L93" s="16"/>
      <c r="M93" s="16"/>
    </row>
    <row r="94" spans="2:13" ht="12.75" hidden="1" customHeight="1" outlineLevel="1" x14ac:dyDescent="0.2">
      <c r="B94" s="16"/>
      <c r="C94" s="18"/>
      <c r="D94" s="67" t="s">
        <v>277</v>
      </c>
      <c r="E94" s="49" t="s">
        <v>273</v>
      </c>
      <c r="F94" s="26"/>
      <c r="G94" s="26"/>
      <c r="H94" s="19"/>
      <c r="I94" s="20"/>
      <c r="J94" s="20"/>
      <c r="K94" s="16"/>
      <c r="L94" s="16"/>
      <c r="M94" s="16"/>
    </row>
    <row r="95" spans="2:13" ht="12.75" hidden="1" customHeight="1" outlineLevel="1" x14ac:dyDescent="0.2">
      <c r="B95" s="16"/>
      <c r="C95" s="18"/>
      <c r="D95" s="67" t="s">
        <v>278</v>
      </c>
      <c r="E95" s="49" t="s">
        <v>273</v>
      </c>
      <c r="F95" s="26"/>
      <c r="G95" s="26"/>
      <c r="H95" s="19"/>
      <c r="I95" s="20"/>
      <c r="J95" s="20"/>
      <c r="K95" s="16"/>
      <c r="L95" s="16"/>
      <c r="M95" s="16"/>
    </row>
    <row r="96" spans="2:13" ht="12.75" hidden="1" customHeight="1" outlineLevel="1" x14ac:dyDescent="0.2">
      <c r="B96" s="16"/>
      <c r="C96" s="18"/>
      <c r="D96" s="32" t="s">
        <v>120</v>
      </c>
      <c r="E96" s="16" t="s">
        <v>279</v>
      </c>
      <c r="F96" s="57">
        <v>0.1</v>
      </c>
      <c r="G96" s="26">
        <f>+(1.25182481751825)-1</f>
        <v>0.25182481751825003</v>
      </c>
      <c r="H96" s="101">
        <f t="shared" si="0"/>
        <v>1</v>
      </c>
      <c r="I96" s="20"/>
      <c r="J96" s="20"/>
      <c r="K96" s="16"/>
      <c r="L96" s="16"/>
      <c r="M96" s="16"/>
    </row>
    <row r="97" spans="2:13" s="65" customFormat="1" ht="12.75" hidden="1" customHeight="1" outlineLevel="1" x14ac:dyDescent="0.2">
      <c r="B97" s="21"/>
      <c r="C97" s="61"/>
      <c r="D97" s="60" t="s">
        <v>280</v>
      </c>
      <c r="E97" s="21" t="s">
        <v>149</v>
      </c>
      <c r="F97" s="68">
        <v>0.9</v>
      </c>
      <c r="G97" s="69"/>
      <c r="H97" s="63"/>
      <c r="I97" s="64"/>
      <c r="J97" s="64"/>
      <c r="K97" s="21"/>
      <c r="L97" s="21"/>
      <c r="M97" s="21"/>
    </row>
    <row r="98" spans="2:13" ht="12.75" hidden="1" customHeight="1" outlineLevel="1" x14ac:dyDescent="0.2">
      <c r="B98" s="16"/>
      <c r="C98" s="18"/>
      <c r="D98" s="58" t="s">
        <v>95</v>
      </c>
      <c r="E98" s="16"/>
      <c r="F98" s="57">
        <v>0</v>
      </c>
      <c r="G98" s="26">
        <v>0</v>
      </c>
      <c r="H98" s="19">
        <v>1</v>
      </c>
      <c r="I98" s="20"/>
      <c r="J98" s="20"/>
      <c r="K98" s="16"/>
      <c r="L98" s="16"/>
      <c r="M98" s="16"/>
    </row>
    <row r="99" spans="2:13" s="113" customFormat="1" ht="12.75" hidden="1" customHeight="1" outlineLevel="1" x14ac:dyDescent="0.2">
      <c r="B99" s="107"/>
      <c r="C99" s="108"/>
      <c r="D99" s="109" t="s">
        <v>66</v>
      </c>
      <c r="E99" s="107" t="s">
        <v>281</v>
      </c>
      <c r="F99" s="117"/>
      <c r="G99" s="115"/>
      <c r="H99" s="111"/>
      <c r="I99" s="112"/>
      <c r="J99" s="112"/>
      <c r="K99" s="107"/>
      <c r="L99" s="107"/>
      <c r="M99" s="107"/>
    </row>
    <row r="100" spans="2:13" ht="12.75" hidden="1" customHeight="1" outlineLevel="1" x14ac:dyDescent="0.2">
      <c r="B100" s="16"/>
      <c r="C100" s="18"/>
      <c r="D100" s="32"/>
      <c r="E100" s="16"/>
      <c r="F100" s="57"/>
      <c r="G100" s="26"/>
      <c r="H100" s="19"/>
      <c r="I100" s="20"/>
      <c r="J100" s="20"/>
      <c r="K100" s="16"/>
      <c r="L100" s="16"/>
      <c r="M100" s="16"/>
    </row>
    <row r="101" spans="2:13" collapsed="1" x14ac:dyDescent="0.2">
      <c r="B101" s="16">
        <v>6</v>
      </c>
      <c r="C101" s="17">
        <v>0.05</v>
      </c>
      <c r="D101" s="32" t="s">
        <v>29</v>
      </c>
      <c r="E101" s="16"/>
      <c r="F101" s="17">
        <v>0.05</v>
      </c>
      <c r="G101" s="17">
        <v>1</v>
      </c>
      <c r="H101" s="19">
        <f t="shared" si="0"/>
        <v>1</v>
      </c>
      <c r="I101" s="20">
        <f t="shared" si="2"/>
        <v>0.05</v>
      </c>
      <c r="J101" s="20"/>
      <c r="K101" s="16"/>
      <c r="L101" s="16"/>
      <c r="M101" s="16"/>
    </row>
    <row r="102" spans="2:13" ht="12.75" hidden="1" customHeight="1" outlineLevel="1" x14ac:dyDescent="0.2">
      <c r="B102" s="16"/>
      <c r="C102" s="17"/>
      <c r="D102" s="32" t="s">
        <v>21</v>
      </c>
      <c r="E102" s="16"/>
      <c r="F102" s="17">
        <v>0.05</v>
      </c>
      <c r="G102" s="16"/>
      <c r="H102" s="19">
        <f t="shared" si="0"/>
        <v>0</v>
      </c>
      <c r="I102" s="20">
        <f t="shared" si="2"/>
        <v>0</v>
      </c>
      <c r="J102" s="20"/>
      <c r="K102" s="16"/>
      <c r="L102" s="16"/>
      <c r="M102" s="16"/>
    </row>
    <row r="103" spans="2:13" s="148" customFormat="1" ht="12.75" hidden="1" customHeight="1" outlineLevel="1" x14ac:dyDescent="0.2">
      <c r="B103" s="25"/>
      <c r="C103" s="145"/>
      <c r="D103" s="154" t="s">
        <v>26</v>
      </c>
      <c r="E103" s="172" t="s">
        <v>172</v>
      </c>
      <c r="F103" s="173">
        <v>0.05</v>
      </c>
      <c r="G103" s="145">
        <v>0.05</v>
      </c>
      <c r="H103" s="146">
        <f t="shared" si="0"/>
        <v>1</v>
      </c>
      <c r="I103" s="147">
        <f t="shared" si="2"/>
        <v>0</v>
      </c>
      <c r="J103" s="147"/>
      <c r="K103" s="25"/>
      <c r="L103" s="25"/>
      <c r="M103" s="25"/>
    </row>
    <row r="104" spans="2:13" s="148" customFormat="1" ht="12.75" hidden="1" customHeight="1" outlineLevel="1" x14ac:dyDescent="0.2">
      <c r="B104" s="25"/>
      <c r="C104" s="145"/>
      <c r="D104" s="174" t="s">
        <v>84</v>
      </c>
      <c r="E104" s="175" t="s">
        <v>283</v>
      </c>
      <c r="F104" s="150">
        <v>30</v>
      </c>
      <c r="G104" s="25">
        <v>45</v>
      </c>
      <c r="H104" s="146">
        <f t="shared" ref="H104:H105" si="5">IF(G104&gt;F104,0,IF(G104&lt;0,0,G104/F104))</f>
        <v>0</v>
      </c>
      <c r="I104" s="147"/>
      <c r="J104" s="147"/>
      <c r="K104" s="25"/>
      <c r="L104" s="25"/>
      <c r="M104" s="25"/>
    </row>
    <row r="105" spans="2:13" s="148" customFormat="1" ht="12.75" hidden="1" customHeight="1" outlineLevel="1" x14ac:dyDescent="0.2">
      <c r="B105" s="25"/>
      <c r="C105" s="145"/>
      <c r="D105" s="174" t="s">
        <v>97</v>
      </c>
      <c r="E105" s="175" t="s">
        <v>283</v>
      </c>
      <c r="F105" s="150">
        <v>6</v>
      </c>
      <c r="G105" s="25">
        <v>7</v>
      </c>
      <c r="H105" s="146">
        <f t="shared" si="5"/>
        <v>0</v>
      </c>
      <c r="I105" s="147"/>
      <c r="J105" s="147"/>
      <c r="K105" s="25"/>
      <c r="L105" s="25"/>
      <c r="M105" s="25"/>
    </row>
    <row r="106" spans="2:13" s="148" customFormat="1" ht="12.75" hidden="1" customHeight="1" outlineLevel="1" x14ac:dyDescent="0.2">
      <c r="B106" s="25"/>
      <c r="C106" s="145"/>
      <c r="D106" s="154" t="s">
        <v>284</v>
      </c>
      <c r="E106" s="25"/>
      <c r="F106" s="25">
        <v>1</v>
      </c>
      <c r="G106" s="25">
        <v>2</v>
      </c>
      <c r="H106" s="146">
        <f>IF(G106&gt;F106,0,IF(G106&lt;0,0,G106/F106))</f>
        <v>0</v>
      </c>
      <c r="I106" s="147"/>
      <c r="J106" s="147"/>
      <c r="K106" s="25"/>
      <c r="L106" s="25"/>
      <c r="M106" s="25"/>
    </row>
    <row r="107" spans="2:13" s="148" customFormat="1" ht="12.75" hidden="1" customHeight="1" outlineLevel="1" x14ac:dyDescent="0.2">
      <c r="B107" s="25"/>
      <c r="C107" s="145"/>
      <c r="D107" s="154" t="s">
        <v>85</v>
      </c>
      <c r="E107" s="25" t="s">
        <v>285</v>
      </c>
      <c r="F107" s="25">
        <v>1</v>
      </c>
      <c r="G107" s="25">
        <v>44</v>
      </c>
      <c r="H107" s="146">
        <f>IF(G107&gt;F107,0,IF(G107&lt;0,0,G107/F107))</f>
        <v>0</v>
      </c>
      <c r="I107" s="147" t="s">
        <v>172</v>
      </c>
      <c r="J107" s="147" t="s">
        <v>286</v>
      </c>
      <c r="K107" s="25"/>
      <c r="L107" s="25"/>
      <c r="M107" s="25"/>
    </row>
    <row r="108" spans="2:13" s="148" customFormat="1" ht="12.75" hidden="1" customHeight="1" outlineLevel="1" x14ac:dyDescent="0.2">
      <c r="B108" s="25"/>
      <c r="C108" s="145"/>
      <c r="D108" s="154" t="s">
        <v>27</v>
      </c>
      <c r="E108" s="25" t="s">
        <v>287</v>
      </c>
      <c r="F108" s="25">
        <v>1</v>
      </c>
      <c r="G108" s="25">
        <v>1</v>
      </c>
      <c r="H108" s="146">
        <v>0</v>
      </c>
      <c r="I108" s="147">
        <v>1</v>
      </c>
      <c r="J108" s="147"/>
      <c r="K108" s="25"/>
      <c r="L108" s="25"/>
      <c r="M108" s="25"/>
    </row>
    <row r="109" spans="2:13" collapsed="1" x14ac:dyDescent="0.2">
      <c r="B109" s="16">
        <v>7</v>
      </c>
      <c r="C109" s="17">
        <v>0.05</v>
      </c>
      <c r="D109" s="32" t="s">
        <v>28</v>
      </c>
      <c r="E109" s="16"/>
      <c r="F109" s="17">
        <v>0.05</v>
      </c>
      <c r="G109" s="17">
        <v>0.05</v>
      </c>
      <c r="H109" s="19">
        <f t="shared" si="0"/>
        <v>1</v>
      </c>
      <c r="I109" s="20">
        <f t="shared" si="2"/>
        <v>0.05</v>
      </c>
      <c r="J109" s="20"/>
      <c r="K109" s="16"/>
      <c r="L109" s="16"/>
      <c r="M109" s="16"/>
    </row>
    <row r="110" spans="2:13" s="65" customFormat="1" ht="12.75" hidden="1" customHeight="1" outlineLevel="1" x14ac:dyDescent="0.2">
      <c r="B110" s="21"/>
      <c r="C110" s="66"/>
      <c r="D110" s="70" t="s">
        <v>22</v>
      </c>
      <c r="E110" s="21"/>
      <c r="F110" s="66">
        <v>0.1</v>
      </c>
      <c r="G110" s="21"/>
      <c r="H110" s="63">
        <f t="shared" si="0"/>
        <v>0</v>
      </c>
      <c r="I110" s="64">
        <f t="shared" si="2"/>
        <v>0</v>
      </c>
      <c r="J110" s="64"/>
      <c r="K110" s="21"/>
      <c r="L110" s="21"/>
      <c r="M110" s="21"/>
    </row>
    <row r="111" spans="2:13" s="65" customFormat="1" ht="12.75" hidden="1" customHeight="1" outlineLevel="1" x14ac:dyDescent="0.2">
      <c r="B111" s="21"/>
      <c r="C111" s="66"/>
      <c r="D111" s="70" t="s">
        <v>23</v>
      </c>
      <c r="E111" s="21"/>
      <c r="F111" s="66">
        <v>0.2</v>
      </c>
      <c r="G111" s="21"/>
      <c r="H111" s="63">
        <f t="shared" si="0"/>
        <v>0</v>
      </c>
      <c r="I111" s="64">
        <f t="shared" si="2"/>
        <v>0</v>
      </c>
      <c r="J111" s="64"/>
      <c r="K111" s="21"/>
      <c r="L111" s="21"/>
      <c r="M111" s="21"/>
    </row>
    <row r="112" spans="2:13" ht="12.75" hidden="1" customHeight="1" outlineLevel="1" x14ac:dyDescent="0.2">
      <c r="B112" s="16"/>
      <c r="C112" s="17"/>
      <c r="D112" s="32">
        <v>7.3</v>
      </c>
      <c r="E112" s="16"/>
      <c r="F112" s="16"/>
      <c r="G112" s="16"/>
      <c r="H112" s="19" t="e">
        <f t="shared" si="0"/>
        <v>#DIV/0!</v>
      </c>
      <c r="I112" s="20" t="e">
        <f t="shared" si="2"/>
        <v>#DIV/0!</v>
      </c>
      <c r="J112" s="20"/>
      <c r="K112" s="16"/>
      <c r="L112" s="16"/>
      <c r="M112" s="16"/>
    </row>
    <row r="113" spans="2:13" ht="12.75" hidden="1" customHeight="1" outlineLevel="1" x14ac:dyDescent="0.2">
      <c r="B113" s="16"/>
      <c r="C113" s="17"/>
      <c r="D113" s="32"/>
      <c r="E113" s="16"/>
      <c r="F113" s="16"/>
      <c r="G113" s="16"/>
      <c r="H113" s="19"/>
      <c r="I113" s="20"/>
      <c r="J113" s="20"/>
      <c r="K113" s="16"/>
      <c r="L113" s="16"/>
      <c r="M113" s="16"/>
    </row>
    <row r="114" spans="2:13" ht="12.75" hidden="1" customHeight="1" outlineLevel="1" x14ac:dyDescent="0.2">
      <c r="B114" s="16"/>
      <c r="C114" s="17"/>
      <c r="D114" s="32"/>
      <c r="E114" s="16"/>
      <c r="F114" s="16"/>
      <c r="G114" s="16"/>
      <c r="H114" s="19"/>
      <c r="I114" s="20"/>
      <c r="J114" s="20"/>
      <c r="K114" s="16"/>
      <c r="L114" s="16"/>
      <c r="M114" s="16"/>
    </row>
    <row r="115" spans="2:13" ht="12.75" hidden="1" customHeight="1" outlineLevel="1" x14ac:dyDescent="0.2">
      <c r="B115" s="16"/>
      <c r="C115" s="17"/>
      <c r="D115" s="32"/>
      <c r="E115" s="16"/>
      <c r="F115" s="16"/>
      <c r="G115" s="16"/>
      <c r="H115" s="19"/>
      <c r="I115" s="20"/>
      <c r="J115" s="20"/>
      <c r="K115" s="16"/>
      <c r="L115" s="16"/>
      <c r="M115" s="16"/>
    </row>
    <row r="116" spans="2:13" ht="12.75" hidden="1" customHeight="1" outlineLevel="1" x14ac:dyDescent="0.2">
      <c r="B116" s="16"/>
      <c r="C116" s="17"/>
      <c r="D116" s="32"/>
      <c r="E116" s="16"/>
      <c r="F116" s="16"/>
      <c r="G116" s="16"/>
      <c r="H116" s="19"/>
      <c r="I116" s="20"/>
      <c r="J116" s="20"/>
      <c r="K116" s="16"/>
      <c r="L116" s="16"/>
      <c r="M116" s="16"/>
    </row>
    <row r="117" spans="2:13" ht="12.75" hidden="1" customHeight="1" outlineLevel="1" x14ac:dyDescent="0.2">
      <c r="B117" s="16"/>
      <c r="C117" s="17"/>
      <c r="D117" s="32"/>
      <c r="E117" s="16"/>
      <c r="F117" s="16"/>
      <c r="G117" s="16"/>
      <c r="H117" s="19"/>
      <c r="I117" s="20"/>
      <c r="J117" s="20"/>
      <c r="K117" s="16"/>
      <c r="L117" s="16"/>
      <c r="M117" s="16"/>
    </row>
    <row r="118" spans="2:13" collapsed="1" x14ac:dyDescent="0.2">
      <c r="B118" s="16">
        <v>8</v>
      </c>
      <c r="C118" s="17">
        <v>0.05</v>
      </c>
      <c r="D118" s="32" t="s">
        <v>35</v>
      </c>
      <c r="E118" s="16"/>
      <c r="F118" s="30">
        <v>1</v>
      </c>
      <c r="G118" s="30">
        <v>1</v>
      </c>
      <c r="H118" s="19">
        <f t="shared" si="0"/>
        <v>1</v>
      </c>
      <c r="I118" s="20">
        <f t="shared" si="2"/>
        <v>0.05</v>
      </c>
      <c r="J118" s="20"/>
      <c r="K118" s="16"/>
      <c r="L118" s="16"/>
      <c r="M118" s="16"/>
    </row>
    <row r="119" spans="2:13" ht="12.75" hidden="1" customHeight="1" outlineLevel="1" x14ac:dyDescent="0.2">
      <c r="C119" s="9"/>
      <c r="D119" s="8" t="s">
        <v>289</v>
      </c>
      <c r="H119" s="11" t="e">
        <f t="shared" ref="H119:H127" si="6">IF(G119&gt;C119,1,G119/C119)</f>
        <v>#DIV/0!</v>
      </c>
      <c r="I119" s="20" t="e">
        <f t="shared" si="2"/>
        <v>#DIV/0!</v>
      </c>
      <c r="J119" s="12"/>
    </row>
    <row r="120" spans="2:13" ht="12.75" hidden="1" customHeight="1" outlineLevel="1" x14ac:dyDescent="0.2">
      <c r="C120" s="10"/>
      <c r="D120" s="8" t="s">
        <v>290</v>
      </c>
      <c r="H120" s="11" t="e">
        <f t="shared" si="6"/>
        <v>#DIV/0!</v>
      </c>
      <c r="I120" s="20" t="e">
        <f t="shared" si="2"/>
        <v>#DIV/0!</v>
      </c>
    </row>
    <row r="121" spans="2:13" ht="12.75" hidden="1" customHeight="1" outlineLevel="1" x14ac:dyDescent="0.2">
      <c r="C121" s="10"/>
      <c r="D121" s="8" t="s">
        <v>291</v>
      </c>
      <c r="H121" s="11" t="e">
        <f t="shared" si="6"/>
        <v>#DIV/0!</v>
      </c>
      <c r="I121" s="20" t="e">
        <f t="shared" si="2"/>
        <v>#DIV/0!</v>
      </c>
    </row>
    <row r="122" spans="2:13" ht="12.75" hidden="1" customHeight="1" outlineLevel="1" x14ac:dyDescent="0.2">
      <c r="C122" s="10"/>
      <c r="D122" s="8" t="s">
        <v>292</v>
      </c>
      <c r="H122" s="11" t="e">
        <f t="shared" si="6"/>
        <v>#DIV/0!</v>
      </c>
      <c r="I122" s="20" t="e">
        <f t="shared" si="2"/>
        <v>#DIV/0!</v>
      </c>
    </row>
    <row r="123" spans="2:13" ht="12.75" hidden="1" customHeight="1" outlineLevel="1" x14ac:dyDescent="0.2">
      <c r="D123" s="8" t="s">
        <v>293</v>
      </c>
      <c r="H123" s="11" t="e">
        <f t="shared" si="6"/>
        <v>#DIV/0!</v>
      </c>
      <c r="I123" s="20" t="e">
        <f t="shared" si="2"/>
        <v>#DIV/0!</v>
      </c>
    </row>
    <row r="124" spans="2:13" ht="12.75" hidden="1" customHeight="1" outlineLevel="1" x14ac:dyDescent="0.2">
      <c r="D124" s="13" t="s">
        <v>294</v>
      </c>
      <c r="E124" s="13"/>
      <c r="H124" s="11" t="e">
        <f t="shared" si="6"/>
        <v>#DIV/0!</v>
      </c>
      <c r="I124" s="20" t="e">
        <f t="shared" si="2"/>
        <v>#DIV/0!</v>
      </c>
    </row>
    <row r="125" spans="2:13" ht="12.75" hidden="1" customHeight="1" outlineLevel="1" x14ac:dyDescent="0.2">
      <c r="D125" s="13" t="s">
        <v>295</v>
      </c>
      <c r="E125" s="13"/>
      <c r="H125" s="11" t="e">
        <f t="shared" si="6"/>
        <v>#DIV/0!</v>
      </c>
      <c r="I125" s="20" t="e">
        <f t="shared" si="2"/>
        <v>#DIV/0!</v>
      </c>
    </row>
    <row r="126" spans="2:13" ht="12.75" hidden="1" customHeight="1" outlineLevel="1" x14ac:dyDescent="0.2">
      <c r="D126" s="13" t="s">
        <v>296</v>
      </c>
      <c r="E126" s="13"/>
      <c r="H126" s="11" t="e">
        <f t="shared" si="6"/>
        <v>#DIV/0!</v>
      </c>
      <c r="I126" s="20" t="e">
        <f t="shared" si="2"/>
        <v>#DIV/0!</v>
      </c>
    </row>
    <row r="127" spans="2:13" ht="12.75" hidden="1" customHeight="1" outlineLevel="1" x14ac:dyDescent="0.2">
      <c r="D127" s="13" t="s">
        <v>297</v>
      </c>
      <c r="E127" s="13"/>
      <c r="H127" s="11" t="e">
        <f t="shared" si="6"/>
        <v>#DIV/0!</v>
      </c>
      <c r="I127" s="20" t="e">
        <f t="shared" si="2"/>
        <v>#DIV/0!</v>
      </c>
    </row>
    <row r="128" spans="2:13" ht="12.75" hidden="1" customHeight="1" outlineLevel="1" x14ac:dyDescent="0.2">
      <c r="D128" s="13" t="s">
        <v>298</v>
      </c>
      <c r="E128" s="13"/>
      <c r="I128" s="20">
        <f t="shared" si="2"/>
        <v>0</v>
      </c>
    </row>
    <row r="129" spans="2:13" ht="12.75" hidden="1" customHeight="1" outlineLevel="1" x14ac:dyDescent="0.2">
      <c r="D129" s="13" t="s">
        <v>299</v>
      </c>
      <c r="E129" s="13"/>
      <c r="I129" s="48">
        <f t="shared" si="2"/>
        <v>0</v>
      </c>
    </row>
    <row r="130" spans="2:13" ht="12.75" hidden="1" customHeight="1" outlineLevel="1" x14ac:dyDescent="0.2">
      <c r="D130" s="13"/>
      <c r="E130" s="13"/>
      <c r="I130" s="48"/>
    </row>
    <row r="131" spans="2:13" ht="12.75" hidden="1" customHeight="1" outlineLevel="1" x14ac:dyDescent="0.2">
      <c r="D131" s="13"/>
      <c r="E131" s="13"/>
      <c r="I131" s="48"/>
    </row>
    <row r="132" spans="2:13" ht="12.75" hidden="1" customHeight="1" outlineLevel="1" x14ac:dyDescent="0.2">
      <c r="D132" s="13"/>
      <c r="E132" s="13"/>
      <c r="I132" s="48"/>
    </row>
    <row r="133" spans="2:13" ht="12.75" hidden="1" customHeight="1" outlineLevel="1" x14ac:dyDescent="0.2">
      <c r="D133" s="13"/>
      <c r="E133" s="13"/>
      <c r="I133" s="48"/>
    </row>
    <row r="134" spans="2:13" ht="12.75" hidden="1" customHeight="1" outlineLevel="1" x14ac:dyDescent="0.2">
      <c r="D134" s="13"/>
      <c r="E134" s="13"/>
      <c r="I134" s="48"/>
    </row>
    <row r="135" spans="2:13" collapsed="1" x14ac:dyDescent="0.2">
      <c r="B135" s="16"/>
      <c r="C135" s="16"/>
      <c r="D135" s="49" t="s">
        <v>7</v>
      </c>
      <c r="E135" s="49" t="s">
        <v>300</v>
      </c>
      <c r="F135" s="17">
        <v>1</v>
      </c>
      <c r="G135" s="50">
        <f>+H135</f>
        <v>1.0325000000000002</v>
      </c>
      <c r="H135" s="50">
        <f>+I135</f>
        <v>1.0325000000000002</v>
      </c>
      <c r="I135" s="51">
        <f>+I6+I27+I50+I62+I67+I101+I109+I118</f>
        <v>1.0325000000000002</v>
      </c>
      <c r="J135" s="16"/>
      <c r="K135" s="16"/>
      <c r="L135" s="16"/>
      <c r="M135" s="16"/>
    </row>
    <row r="136" spans="2:13" x14ac:dyDescent="0.2">
      <c r="B136" s="16"/>
      <c r="C136" s="16"/>
      <c r="D136" s="49"/>
      <c r="E136" s="49"/>
      <c r="F136" s="17"/>
      <c r="G136" s="50"/>
      <c r="H136" s="50"/>
      <c r="I136" s="51"/>
      <c r="J136" s="16"/>
      <c r="K136" s="16"/>
      <c r="L136" s="16"/>
      <c r="M136" s="16"/>
    </row>
    <row r="137" spans="2:13" x14ac:dyDescent="0.2">
      <c r="B137" s="16"/>
      <c r="C137" s="16"/>
      <c r="D137" s="49"/>
      <c r="E137" s="49"/>
      <c r="F137" s="17"/>
      <c r="G137" s="50"/>
      <c r="H137" s="50"/>
      <c r="I137" s="51"/>
      <c r="J137" s="16"/>
      <c r="K137" s="16"/>
      <c r="L137" s="16"/>
      <c r="M137" s="16"/>
    </row>
    <row r="138" spans="2:13" x14ac:dyDescent="0.2">
      <c r="B138" s="16"/>
      <c r="C138" s="16"/>
      <c r="D138" s="49"/>
      <c r="E138" s="49"/>
      <c r="F138" s="17"/>
      <c r="G138" s="50"/>
      <c r="H138" s="50"/>
      <c r="I138" s="51"/>
      <c r="J138" s="16"/>
      <c r="K138" s="16"/>
      <c r="L138" s="16"/>
      <c r="M138" s="16"/>
    </row>
    <row r="139" spans="2:13" x14ac:dyDescent="0.2">
      <c r="B139" s="16"/>
      <c r="C139" s="16"/>
      <c r="D139" s="49"/>
      <c r="E139" s="49"/>
      <c r="F139" s="17"/>
      <c r="G139" s="50"/>
      <c r="H139" s="50"/>
      <c r="I139" s="51"/>
      <c r="J139" s="16"/>
      <c r="K139" s="16"/>
      <c r="L139" s="16"/>
      <c r="M139" s="16"/>
    </row>
    <row r="140" spans="2:13" x14ac:dyDescent="0.2">
      <c r="B140" s="16"/>
      <c r="C140" s="16"/>
      <c r="D140" s="49"/>
      <c r="E140" s="49"/>
      <c r="F140" s="17"/>
      <c r="G140" s="50"/>
      <c r="H140" s="50"/>
      <c r="I140" s="51"/>
      <c r="J140" s="16"/>
      <c r="K140" s="16"/>
      <c r="L140" s="16"/>
      <c r="M140" s="16"/>
    </row>
    <row r="141" spans="2:13" x14ac:dyDescent="0.2">
      <c r="B141" s="16"/>
      <c r="C141" s="16"/>
      <c r="D141" s="49" t="s">
        <v>51</v>
      </c>
      <c r="E141" s="49" t="s">
        <v>300</v>
      </c>
      <c r="F141" s="17">
        <v>1</v>
      </c>
      <c r="G141" s="50">
        <f>+Contenedores!H16</f>
        <v>0.42549999999999999</v>
      </c>
      <c r="H141" s="50">
        <f>+G141</f>
        <v>0.42549999999999999</v>
      </c>
      <c r="I141" s="50" t="e">
        <f>+'EJ,. CXMA MENSUAL'!H18</f>
        <v>#N/A</v>
      </c>
      <c r="J141" s="16"/>
      <c r="K141" s="16"/>
      <c r="L141" s="16"/>
      <c r="M141" s="16"/>
    </row>
    <row r="142" spans="2:13" x14ac:dyDescent="0.2">
      <c r="D142" s="13"/>
      <c r="E142" s="13"/>
    </row>
    <row r="143" spans="2:13" x14ac:dyDescent="0.2">
      <c r="D143" s="13"/>
      <c r="E143" s="13"/>
    </row>
    <row r="144" spans="2:13" x14ac:dyDescent="0.2">
      <c r="D144" s="13"/>
      <c r="E144" s="13"/>
      <c r="G144" s="9"/>
    </row>
    <row r="145" spans="4:5" x14ac:dyDescent="0.2">
      <c r="D145" s="13"/>
      <c r="E145" s="13"/>
    </row>
    <row r="146" spans="4:5" x14ac:dyDescent="0.2">
      <c r="D146" s="13"/>
      <c r="E146" s="13"/>
    </row>
    <row r="147" spans="4:5" x14ac:dyDescent="0.2">
      <c r="D147" s="13"/>
      <c r="E147" s="13"/>
    </row>
    <row r="148" spans="4:5" x14ac:dyDescent="0.2">
      <c r="D148" s="13"/>
      <c r="E148" s="13"/>
    </row>
    <row r="149" spans="4:5" x14ac:dyDescent="0.2">
      <c r="D149" s="13"/>
      <c r="E149" s="13"/>
    </row>
    <row r="150" spans="4:5" x14ac:dyDescent="0.2">
      <c r="D150" s="13"/>
      <c r="E150" s="13"/>
    </row>
    <row r="151" spans="4:5" x14ac:dyDescent="0.2">
      <c r="D151" s="13"/>
      <c r="E151" s="13"/>
    </row>
  </sheetData>
  <dataConsolidate/>
  <pageMargins left="0.7" right="0.7" top="0.75" bottom="0.75" header="0.3" footer="0.3"/>
  <pageSetup orientation="portrait" horizontalDpi="360" verticalDpi="360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A2FA8-9456-47B1-A24A-850B980420A2}">
  <dimension ref="A1"/>
  <sheetViews>
    <sheetView workbookViewId="0">
      <selection activeCell="K35" sqref="K35"/>
    </sheetView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3:F28"/>
  <sheetViews>
    <sheetView workbookViewId="0">
      <selection activeCell="D13" sqref="D13"/>
    </sheetView>
  </sheetViews>
  <sheetFormatPr baseColWidth="10" defaultColWidth="11.42578125" defaultRowHeight="15" x14ac:dyDescent="0.25"/>
  <cols>
    <col min="2" max="3" width="8" customWidth="1"/>
    <col min="4" max="4" width="54.7109375" customWidth="1"/>
    <col min="5" max="5" width="21.42578125" customWidth="1"/>
  </cols>
  <sheetData>
    <row r="3" spans="2:6" x14ac:dyDescent="0.25">
      <c r="B3" s="181" t="s">
        <v>301</v>
      </c>
      <c r="C3" s="182" t="s">
        <v>138</v>
      </c>
      <c r="D3" s="182" t="s">
        <v>139</v>
      </c>
      <c r="E3" s="182" t="s">
        <v>140</v>
      </c>
      <c r="F3" s="183" t="s">
        <v>141</v>
      </c>
    </row>
    <row r="4" spans="2:6" x14ac:dyDescent="0.25">
      <c r="B4" s="178">
        <v>1</v>
      </c>
      <c r="C4" s="176">
        <v>0.32500000000000001</v>
      </c>
      <c r="D4" s="49" t="s">
        <v>303</v>
      </c>
      <c r="E4" s="16" t="s">
        <v>158</v>
      </c>
      <c r="F4" s="179">
        <v>0.2</v>
      </c>
    </row>
    <row r="5" spans="2:6" x14ac:dyDescent="0.25">
      <c r="B5" s="178">
        <v>2</v>
      </c>
      <c r="C5" s="176">
        <v>0.27500000000000002</v>
      </c>
      <c r="D5" s="49" t="s">
        <v>312</v>
      </c>
      <c r="E5" s="16" t="s">
        <v>149</v>
      </c>
      <c r="F5" s="179">
        <v>0.1</v>
      </c>
    </row>
    <row r="6" spans="2:6" x14ac:dyDescent="0.25">
      <c r="B6" s="178">
        <v>3</v>
      </c>
      <c r="C6" s="176">
        <v>0.05</v>
      </c>
      <c r="D6" s="49" t="s">
        <v>250</v>
      </c>
      <c r="E6" s="16" t="s">
        <v>315</v>
      </c>
      <c r="F6" s="179">
        <v>1</v>
      </c>
    </row>
    <row r="7" spans="2:6" x14ac:dyDescent="0.25">
      <c r="B7" s="178">
        <v>4</v>
      </c>
      <c r="C7" s="176">
        <v>0.1</v>
      </c>
      <c r="D7" s="49" t="s">
        <v>18</v>
      </c>
      <c r="E7" s="16" t="s">
        <v>149</v>
      </c>
      <c r="F7" s="179">
        <v>0.1</v>
      </c>
    </row>
    <row r="8" spans="2:6" x14ac:dyDescent="0.25">
      <c r="B8" s="178">
        <v>5</v>
      </c>
      <c r="C8" s="176">
        <v>0.1</v>
      </c>
      <c r="D8" s="49" t="s">
        <v>37</v>
      </c>
      <c r="E8" s="16"/>
      <c r="F8" s="180">
        <v>3670</v>
      </c>
    </row>
    <row r="9" spans="2:6" x14ac:dyDescent="0.25">
      <c r="B9" s="178">
        <v>6</v>
      </c>
      <c r="C9" s="177">
        <v>0.05</v>
      </c>
      <c r="D9" s="49" t="s">
        <v>29</v>
      </c>
      <c r="E9" s="16" t="s">
        <v>149</v>
      </c>
      <c r="F9" s="179">
        <v>0.05</v>
      </c>
    </row>
    <row r="10" spans="2:6" x14ac:dyDescent="0.25">
      <c r="B10" s="178">
        <v>7</v>
      </c>
      <c r="C10" s="177">
        <v>0.05</v>
      </c>
      <c r="D10" s="49" t="s">
        <v>28</v>
      </c>
      <c r="E10" s="16" t="s">
        <v>149</v>
      </c>
      <c r="F10" s="179">
        <v>0.05</v>
      </c>
    </row>
    <row r="11" spans="2:6" x14ac:dyDescent="0.25">
      <c r="B11" s="184">
        <v>8</v>
      </c>
      <c r="C11" s="185">
        <v>0.05</v>
      </c>
      <c r="D11" s="186" t="s">
        <v>35</v>
      </c>
      <c r="E11" s="187" t="s">
        <v>316</v>
      </c>
      <c r="F11" s="188">
        <v>1</v>
      </c>
    </row>
    <row r="12" spans="2:6" x14ac:dyDescent="0.25">
      <c r="B12" s="8"/>
      <c r="C12" s="9"/>
      <c r="D12" s="8" t="s">
        <v>289</v>
      </c>
      <c r="E12" s="8"/>
      <c r="F12" s="8"/>
    </row>
    <row r="13" spans="2:6" x14ac:dyDescent="0.25">
      <c r="B13" s="8"/>
      <c r="C13" s="10"/>
      <c r="D13" s="8" t="s">
        <v>290</v>
      </c>
      <c r="E13" s="8"/>
      <c r="F13" s="8"/>
    </row>
    <row r="14" spans="2:6" x14ac:dyDescent="0.25">
      <c r="B14" s="8"/>
      <c r="C14" s="10"/>
      <c r="D14" s="8" t="s">
        <v>291</v>
      </c>
      <c r="E14" s="8"/>
      <c r="F14" s="8"/>
    </row>
    <row r="15" spans="2:6" x14ac:dyDescent="0.25">
      <c r="B15" s="8"/>
      <c r="C15" s="10"/>
      <c r="D15" s="8" t="s">
        <v>292</v>
      </c>
      <c r="E15" s="8"/>
      <c r="F15" s="8"/>
    </row>
    <row r="16" spans="2:6" x14ac:dyDescent="0.25">
      <c r="B16" s="8"/>
      <c r="C16" s="8"/>
      <c r="D16" s="8" t="s">
        <v>293</v>
      </c>
      <c r="E16" s="8"/>
      <c r="F16" s="8"/>
    </row>
    <row r="17" spans="2:6" x14ac:dyDescent="0.25">
      <c r="B17" s="8"/>
      <c r="C17" s="8"/>
      <c r="D17" s="13" t="s">
        <v>294</v>
      </c>
      <c r="E17" s="13"/>
      <c r="F17" s="8"/>
    </row>
    <row r="18" spans="2:6" x14ac:dyDescent="0.25">
      <c r="B18" s="8"/>
      <c r="C18" s="8"/>
      <c r="D18" s="13" t="s">
        <v>295</v>
      </c>
      <c r="E18" s="13"/>
      <c r="F18" s="8"/>
    </row>
    <row r="19" spans="2:6" x14ac:dyDescent="0.25">
      <c r="B19" s="8"/>
      <c r="C19" s="8"/>
      <c r="D19" s="13" t="s">
        <v>296</v>
      </c>
      <c r="E19" s="13"/>
      <c r="F19" s="8"/>
    </row>
    <row r="20" spans="2:6" x14ac:dyDescent="0.25">
      <c r="B20" s="8"/>
      <c r="C20" s="8"/>
      <c r="D20" s="13" t="s">
        <v>297</v>
      </c>
      <c r="E20" s="13"/>
      <c r="F20" s="8"/>
    </row>
    <row r="21" spans="2:6" x14ac:dyDescent="0.25">
      <c r="B21" s="8"/>
      <c r="C21" s="8"/>
      <c r="D21" s="13" t="s">
        <v>298</v>
      </c>
      <c r="E21" s="13"/>
      <c r="F21" s="8"/>
    </row>
    <row r="22" spans="2:6" x14ac:dyDescent="0.25">
      <c r="B22" s="8"/>
      <c r="C22" s="8"/>
      <c r="D22" s="13" t="s">
        <v>299</v>
      </c>
      <c r="E22" s="13"/>
      <c r="F22" s="8"/>
    </row>
    <row r="23" spans="2:6" x14ac:dyDescent="0.25">
      <c r="B23" s="8"/>
      <c r="C23" s="8"/>
      <c r="D23" s="13"/>
      <c r="E23" s="13"/>
      <c r="F23" s="8"/>
    </row>
    <row r="24" spans="2:6" x14ac:dyDescent="0.25">
      <c r="B24" s="8"/>
      <c r="C24" s="8"/>
      <c r="D24" s="13"/>
      <c r="E24" s="13"/>
      <c r="F24" s="8"/>
    </row>
    <row r="25" spans="2:6" x14ac:dyDescent="0.25">
      <c r="B25" s="8"/>
      <c r="C25" s="8"/>
      <c r="D25" s="13"/>
      <c r="E25" s="13"/>
      <c r="F25" s="8"/>
    </row>
    <row r="26" spans="2:6" x14ac:dyDescent="0.25">
      <c r="B26" s="8"/>
      <c r="C26" s="8"/>
      <c r="D26" s="13"/>
      <c r="E26" s="13"/>
      <c r="F26" s="8"/>
    </row>
    <row r="27" spans="2:6" x14ac:dyDescent="0.25">
      <c r="B27" s="8"/>
      <c r="C27" s="8"/>
      <c r="D27" s="13"/>
      <c r="E27" s="13"/>
      <c r="F27" s="8"/>
    </row>
    <row r="28" spans="2:6" x14ac:dyDescent="0.25">
      <c r="B28" s="16"/>
      <c r="C28" s="16"/>
      <c r="D28" s="49" t="s">
        <v>7</v>
      </c>
      <c r="E28" s="49" t="s">
        <v>300</v>
      </c>
      <c r="F28" s="17">
        <v>1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L149"/>
  <sheetViews>
    <sheetView topLeftCell="A47" zoomScaleNormal="100" workbookViewId="0">
      <selection activeCell="C168" sqref="C168"/>
    </sheetView>
  </sheetViews>
  <sheetFormatPr baseColWidth="10" defaultColWidth="11.42578125" defaultRowHeight="12.75" outlineLevelRow="1" x14ac:dyDescent="0.2"/>
  <cols>
    <col min="1" max="1" width="3.85546875" style="8" customWidth="1"/>
    <col min="2" max="2" width="11.42578125" style="8"/>
    <col min="3" max="3" width="86.140625" style="8" customWidth="1"/>
    <col min="4" max="4" width="13.42578125" style="8" customWidth="1"/>
    <col min="5" max="5" width="14.28515625" style="8" bestFit="1" customWidth="1"/>
    <col min="6" max="6" width="13.140625" style="8" bestFit="1" customWidth="1"/>
    <col min="7" max="7" width="11.42578125" style="8"/>
    <col min="8" max="8" width="15.85546875" style="8" bestFit="1" customWidth="1"/>
    <col min="9" max="9" width="15.85546875" style="8" customWidth="1"/>
    <col min="10" max="16384" width="11.42578125" style="8"/>
  </cols>
  <sheetData>
    <row r="2" spans="1:12" x14ac:dyDescent="0.2">
      <c r="A2" s="16" t="str">
        <f>+Mensual!B5</f>
        <v>No</v>
      </c>
      <c r="B2" s="16" t="str">
        <f>+Mensual!C5</f>
        <v>Peso</v>
      </c>
      <c r="C2" s="16" t="str">
        <f>+Mensual!D5</f>
        <v>Descripción</v>
      </c>
      <c r="D2" s="16" t="str">
        <f>+Mensual!E5</f>
        <v>Unidad de medición</v>
      </c>
      <c r="E2" s="16" t="str">
        <f>+Mensual!F5</f>
        <v>Meta</v>
      </c>
      <c r="F2" s="16" t="str">
        <f>+Mensual!G5</f>
        <v>Resultado</v>
      </c>
      <c r="G2" s="16" t="str">
        <f>+Mensual!H5</f>
        <v>Nota</v>
      </c>
      <c r="H2" s="16" t="str">
        <f>+Mensual!I5</f>
        <v>Valor ponderado</v>
      </c>
      <c r="I2" s="16">
        <f>+Mensual!J5</f>
        <v>0</v>
      </c>
      <c r="J2" s="16">
        <f>+Mensual!K5</f>
        <v>0.25</v>
      </c>
      <c r="K2" s="16">
        <f>+Mensual!L5</f>
        <v>0.5</v>
      </c>
      <c r="L2" s="17">
        <v>1</v>
      </c>
    </row>
    <row r="3" spans="1:12" x14ac:dyDescent="0.2">
      <c r="A3" s="16">
        <f>+Mensual!B6</f>
        <v>4</v>
      </c>
      <c r="B3" s="16">
        <f>+Mensual!C6</f>
        <v>0.32500000000000001</v>
      </c>
      <c r="C3" s="16" t="str">
        <f>+Mensual!D6</f>
        <v>1. Aumentar ventas en:</v>
      </c>
      <c r="D3" s="16">
        <f>+Mensual!E6</f>
        <v>0</v>
      </c>
      <c r="E3" s="16">
        <f>+Mensual!F6</f>
        <v>0.2</v>
      </c>
      <c r="F3" s="19">
        <v>-0.11459999999999999</v>
      </c>
      <c r="G3" s="19">
        <f>IF(F3&gt;(E3*1.1),1.1,IF(F3&lt;0,0,F3/E3))</f>
        <v>0</v>
      </c>
      <c r="H3" s="22">
        <f>+G3*B3</f>
        <v>0</v>
      </c>
      <c r="I3" s="20"/>
      <c r="J3" s="16"/>
      <c r="K3" s="16"/>
      <c r="L3" s="16"/>
    </row>
    <row r="4" spans="1:12" hidden="1" outlineLevel="1" x14ac:dyDescent="0.2">
      <c r="A4" s="16">
        <f>+Mensual!B7</f>
        <v>410101</v>
      </c>
      <c r="B4" s="16">
        <f>+Mensual!C7</f>
        <v>0</v>
      </c>
      <c r="C4" s="16" t="str">
        <f>+Mensual!D7</f>
        <v xml:space="preserve">1.1 Aumentar ventas de transporte </v>
      </c>
      <c r="D4" s="16">
        <f>+Mensual!E7</f>
        <v>0</v>
      </c>
      <c r="E4" s="16">
        <f>+Mensual!F7</f>
        <v>0.2</v>
      </c>
      <c r="F4" s="19">
        <v>-0.14000000000000001</v>
      </c>
      <c r="G4" s="19">
        <f t="shared" ref="G4:G114" si="0">IF(F4&gt;E4,1,IF(F4&lt;0,0,F4/E4))</f>
        <v>0</v>
      </c>
      <c r="H4" s="20">
        <f t="shared" ref="H4:H125" si="1">+G4*B4</f>
        <v>0</v>
      </c>
      <c r="I4" s="20"/>
      <c r="J4" s="16"/>
      <c r="K4" s="16"/>
      <c r="L4" s="16"/>
    </row>
    <row r="5" spans="1:12" hidden="1" outlineLevel="1" x14ac:dyDescent="0.2">
      <c r="A5" s="16">
        <f>+Mensual!B8</f>
        <v>0</v>
      </c>
      <c r="B5" s="16">
        <f>+Mensual!C8</f>
        <v>0</v>
      </c>
      <c r="C5" s="16" t="str">
        <f>+Mensual!D8</f>
        <v>1.2 Lograr meta de contenedores</v>
      </c>
      <c r="D5" s="16">
        <f>+Mensual!E8</f>
        <v>0</v>
      </c>
      <c r="E5" s="26">
        <v>15</v>
      </c>
      <c r="F5" s="27">
        <v>1</v>
      </c>
      <c r="G5" s="19">
        <v>6.6666666666666666E-2</v>
      </c>
      <c r="H5" s="20">
        <f t="shared" si="1"/>
        <v>0</v>
      </c>
      <c r="I5" s="20"/>
      <c r="J5" s="16"/>
      <c r="K5" s="16"/>
      <c r="L5" s="16"/>
    </row>
    <row r="6" spans="1:12" hidden="1" outlineLevel="1" x14ac:dyDescent="0.2">
      <c r="A6" s="16">
        <f>+Mensual!B9</f>
        <v>410202</v>
      </c>
      <c r="B6" s="16">
        <f>+Mensual!C9</f>
        <v>0</v>
      </c>
      <c r="C6" s="16" t="str">
        <f>+Mensual!D9</f>
        <v>1.3  Lograr  meta de ventas contenedores secos  y modificados(dolares)</v>
      </c>
      <c r="D6" s="16" t="str">
        <f>+Mensual!E9</f>
        <v>Dólares</v>
      </c>
      <c r="E6" s="16">
        <v>4000000</v>
      </c>
      <c r="F6" s="29">
        <v>70537.5</v>
      </c>
      <c r="G6" s="19">
        <f>IF(F6&gt;E6,1,IF(F6&lt;0,0,F6/E6))</f>
        <v>1.7634375000000001E-2</v>
      </c>
      <c r="H6" s="20"/>
      <c r="I6" s="20"/>
      <c r="J6" s="16"/>
      <c r="K6" s="16"/>
      <c r="L6" s="16"/>
    </row>
    <row r="7" spans="1:12" hidden="1" outlineLevel="1" x14ac:dyDescent="0.2">
      <c r="A7" s="16">
        <f>+Mensual!B10</f>
        <v>410108002</v>
      </c>
      <c r="B7" s="16">
        <f>+Mensual!C10</f>
        <v>0</v>
      </c>
      <c r="C7" s="16" t="str">
        <f>+Mensual!D10</f>
        <v>1.4 Lograr meta de ventas en alquileres de contenedores reefer (solo o en combo)</v>
      </c>
      <c r="D7" s="16" t="str">
        <f>+Mensual!E10</f>
        <v>Dólares</v>
      </c>
      <c r="E7" s="16">
        <f>+Mensual!F10</f>
        <v>16000</v>
      </c>
      <c r="F7" s="28">
        <v>200000</v>
      </c>
      <c r="G7" s="19">
        <f t="shared" ref="G7:G8" si="2">IF(F7&gt;E7,1,IF(F7&lt;0,0,F7/E7))</f>
        <v>1</v>
      </c>
      <c r="H7" s="20"/>
      <c r="I7" s="20"/>
      <c r="J7" s="16"/>
      <c r="K7" s="16"/>
      <c r="L7" s="16"/>
    </row>
    <row r="8" spans="1:12" hidden="1" outlineLevel="1" x14ac:dyDescent="0.2">
      <c r="A8" s="16">
        <f>+Mensual!B11</f>
        <v>410107</v>
      </c>
      <c r="B8" s="16">
        <f>+Mensual!C11</f>
        <v>0</v>
      </c>
      <c r="C8" s="16" t="str">
        <f>+Mensual!D11</f>
        <v>1.5 Aumentar Rentas bienes y raices</v>
      </c>
      <c r="D8" s="16" t="str">
        <f>+Mensual!E11</f>
        <v>Porcentaje</v>
      </c>
      <c r="E8" s="16">
        <f>+Mensual!F11</f>
        <v>0.2</v>
      </c>
      <c r="F8" s="28">
        <v>400000</v>
      </c>
      <c r="G8" s="19">
        <f t="shared" si="2"/>
        <v>1</v>
      </c>
      <c r="H8" s="20"/>
      <c r="I8" s="20"/>
      <c r="J8" s="16"/>
      <c r="K8" s="16"/>
      <c r="L8" s="16"/>
    </row>
    <row r="9" spans="1:12" hidden="1" outlineLevel="1" x14ac:dyDescent="0.2">
      <c r="A9" s="16"/>
      <c r="B9" s="16">
        <f>+Mensual!C12</f>
        <v>0</v>
      </c>
      <c r="C9" s="16" t="str">
        <f>+Mensual!D12</f>
        <v>1.6 Alquileres de contenedores secos (solo o en combos CONMOXA)</v>
      </c>
      <c r="D9" s="16" t="str">
        <f>+Mensual!E12</f>
        <v>Porcentaje</v>
      </c>
      <c r="E9" s="16">
        <f>+Mensual!F12</f>
        <v>0.2</v>
      </c>
      <c r="F9" s="28">
        <v>200000</v>
      </c>
      <c r="G9" s="19">
        <f t="shared" ref="G9" si="3">IF(F9&gt;E9,1,IF(F9&lt;0,0,F9/E9))</f>
        <v>1</v>
      </c>
      <c r="H9" s="20"/>
      <c r="I9" s="20"/>
      <c r="J9" s="16"/>
      <c r="K9" s="16"/>
      <c r="L9" s="16"/>
    </row>
    <row r="10" spans="1:12" hidden="1" outlineLevel="1" x14ac:dyDescent="0.2">
      <c r="A10" s="16">
        <f>+Mensual!B13</f>
        <v>410203</v>
      </c>
      <c r="B10" s="16">
        <f>+Mensual!C13</f>
        <v>0</v>
      </c>
      <c r="C10" s="16" t="str">
        <f>+Mensual!D13</f>
        <v>1.7 Lograr ventas de gasolinera de galones</v>
      </c>
      <c r="D10" s="16" t="str">
        <f>+Mensual!E13</f>
        <v>Galones</v>
      </c>
      <c r="E10" s="16">
        <f>+Mensual!F13</f>
        <v>100000</v>
      </c>
      <c r="F10" s="19">
        <v>0</v>
      </c>
      <c r="G10" s="19">
        <f t="shared" si="0"/>
        <v>0</v>
      </c>
      <c r="H10" s="20">
        <f t="shared" si="1"/>
        <v>0</v>
      </c>
      <c r="I10" s="20"/>
      <c r="J10" s="16"/>
      <c r="K10" s="16"/>
      <c r="L10" s="16"/>
    </row>
    <row r="11" spans="1:12" hidden="1" outlineLevel="1" x14ac:dyDescent="0.2">
      <c r="A11" s="16" t="str">
        <f>+Mensual!B14</f>
        <v>41 TREXA</v>
      </c>
      <c r="B11" s="16">
        <f>+Mensual!C14</f>
        <v>0</v>
      </c>
      <c r="C11" s="16" t="str">
        <f>+Mensual!D14</f>
        <v>1.8 Aumentar ventas en TREXA</v>
      </c>
      <c r="D11" s="16" t="str">
        <f>+Mensual!E14</f>
        <v>Dólares</v>
      </c>
      <c r="E11" s="16">
        <f>+Mensual!F14</f>
        <v>0.2</v>
      </c>
      <c r="F11" s="19">
        <v>0.01</v>
      </c>
      <c r="G11" s="19">
        <f t="shared" si="0"/>
        <v>4.9999999999999996E-2</v>
      </c>
      <c r="H11" s="20">
        <f t="shared" si="1"/>
        <v>0</v>
      </c>
      <c r="I11" s="20"/>
      <c r="J11" s="16"/>
      <c r="K11" s="16"/>
      <c r="L11" s="16"/>
    </row>
    <row r="12" spans="1:12" hidden="1" outlineLevel="1" x14ac:dyDescent="0.2">
      <c r="A12" s="16">
        <f>+Mensual!B15</f>
        <v>0</v>
      </c>
      <c r="B12" s="16">
        <f>+Mensual!C15</f>
        <v>0</v>
      </c>
      <c r="C12" s="16" t="str">
        <f>+Mensual!D15</f>
        <v>1.9 Aumento en ventas de GPS a terceros (nuevos clientes)</v>
      </c>
      <c r="D12" s="16" t="str">
        <f>+Mensual!E15</f>
        <v>Unidad instaladas / mensuales</v>
      </c>
      <c r="E12" s="16">
        <f>+Mensual!F15</f>
        <v>10</v>
      </c>
      <c r="F12" s="19">
        <v>0</v>
      </c>
      <c r="G12" s="19">
        <f t="shared" si="0"/>
        <v>0</v>
      </c>
      <c r="H12" s="20">
        <f t="shared" si="1"/>
        <v>0</v>
      </c>
      <c r="I12" s="20"/>
      <c r="J12" s="16"/>
      <c r="K12" s="16"/>
      <c r="L12" s="16"/>
    </row>
    <row r="13" spans="1:12" hidden="1" outlineLevel="1" x14ac:dyDescent="0.2">
      <c r="A13" s="16" t="str">
        <f>+Mensual!B16</f>
        <v>410201 International C.</v>
      </c>
      <c r="B13" s="16">
        <f>+Mensual!C16</f>
        <v>0</v>
      </c>
      <c r="C13" s="16" t="str">
        <f>+Mensual!D16</f>
        <v xml:space="preserve">1.10 Aumentar ventas en articulos Sejue/get504 </v>
      </c>
      <c r="D13" s="16" t="str">
        <f>+Mensual!E16</f>
        <v>Articulos</v>
      </c>
      <c r="E13" s="16">
        <f>+Mensual!F16</f>
        <v>10</v>
      </c>
      <c r="F13" s="19">
        <v>0</v>
      </c>
      <c r="G13" s="19">
        <f t="shared" si="0"/>
        <v>0</v>
      </c>
      <c r="H13" s="20">
        <f t="shared" si="1"/>
        <v>0</v>
      </c>
      <c r="I13" s="20"/>
      <c r="J13" s="16"/>
      <c r="K13" s="16"/>
      <c r="L13" s="16"/>
    </row>
    <row r="14" spans="1:12" hidden="1" outlineLevel="1" x14ac:dyDescent="0.2">
      <c r="A14" s="16">
        <f>+Mensual!B17</f>
        <v>410201</v>
      </c>
      <c r="B14" s="16">
        <f>+Mensual!C17</f>
        <v>0</v>
      </c>
      <c r="C14" s="16" t="str">
        <f>+Mensual!D17</f>
        <v>1.11 Tienda de conveniencia (Primeros 4 meses 15k usd y 25k usd)</v>
      </c>
      <c r="D14" s="16" t="str">
        <f>+Mensual!E17</f>
        <v>Dólares</v>
      </c>
      <c r="E14" s="16">
        <f>+Mensual!F17</f>
        <v>25000</v>
      </c>
      <c r="F14" s="19">
        <v>1</v>
      </c>
      <c r="G14" s="19">
        <f t="shared" ref="G14:G23" si="4">IF(F14&gt;E14,1,IF(F14&lt;0,0,F14/E14))</f>
        <v>4.0000000000000003E-5</v>
      </c>
      <c r="H14" s="20">
        <f t="shared" ref="H14:H23" si="5">+G14*B14</f>
        <v>0</v>
      </c>
      <c r="I14" s="20"/>
      <c r="J14" s="16"/>
      <c r="K14" s="16"/>
      <c r="L14" s="16"/>
    </row>
    <row r="15" spans="1:12" hidden="1" outlineLevel="1" x14ac:dyDescent="0.2">
      <c r="A15" s="16" t="str">
        <f>+Mensual!B18</f>
        <v>410102 y 410103</v>
      </c>
      <c r="B15" s="16">
        <f>+Mensual!C18</f>
        <v>0</v>
      </c>
      <c r="C15" s="16" t="str">
        <f>+Mensual!D18</f>
        <v>1.12 Aumentar renta de chasis y/o genset sin contenedor 410102 + 410103</v>
      </c>
      <c r="D15" s="16" t="str">
        <f>+Mensual!E18</f>
        <v>Chasis rentados</v>
      </c>
      <c r="E15" s="16">
        <f>+Mensual!F18</f>
        <v>0.2</v>
      </c>
      <c r="F15" s="19">
        <v>2</v>
      </c>
      <c r="G15" s="19">
        <f t="shared" si="4"/>
        <v>1</v>
      </c>
      <c r="H15" s="20">
        <f t="shared" si="5"/>
        <v>0</v>
      </c>
      <c r="I15" s="20"/>
      <c r="J15" s="16"/>
      <c r="K15" s="16"/>
      <c r="L15" s="16"/>
    </row>
    <row r="16" spans="1:12" hidden="1" outlineLevel="1" x14ac:dyDescent="0.2">
      <c r="A16" s="16">
        <f>+Mensual!B19</f>
        <v>4101105001</v>
      </c>
      <c r="B16" s="16">
        <f>+Mensual!C19</f>
        <v>0</v>
      </c>
      <c r="C16" s="16" t="str">
        <f>+Mensual!D19</f>
        <v>1.13 Aumentar servicio de almacenamiento y M&amp;R San Lorenzo</v>
      </c>
      <c r="D16" s="16">
        <f>+Mensual!E19</f>
        <v>0</v>
      </c>
      <c r="E16" s="16">
        <f>+Mensual!F19</f>
        <v>0.2</v>
      </c>
      <c r="F16" s="19">
        <v>3</v>
      </c>
      <c r="G16" s="19">
        <f t="shared" si="4"/>
        <v>1</v>
      </c>
      <c r="H16" s="20">
        <f t="shared" si="5"/>
        <v>0</v>
      </c>
      <c r="I16" s="20"/>
      <c r="J16" s="16"/>
      <c r="K16" s="16"/>
      <c r="L16" s="16"/>
    </row>
    <row r="17" spans="1:12" hidden="1" outlineLevel="1" x14ac:dyDescent="0.2">
      <c r="A17" s="16">
        <f>+Mensual!B20</f>
        <v>4101105002</v>
      </c>
      <c r="B17" s="16">
        <f>+Mensual!C20</f>
        <v>0</v>
      </c>
      <c r="C17" s="16" t="str">
        <f>+Mensual!D20</f>
        <v>1.14 Incrementar gate out de contenedores  Puerto Cortés</v>
      </c>
      <c r="D17" s="16" t="str">
        <f>+Mensual!E20</f>
        <v>Gate</v>
      </c>
      <c r="E17" s="16">
        <f>+Mensual!F20</f>
        <v>0.2</v>
      </c>
      <c r="F17" s="19">
        <v>4</v>
      </c>
      <c r="G17" s="19">
        <f t="shared" si="4"/>
        <v>1</v>
      </c>
      <c r="H17" s="20">
        <f t="shared" si="5"/>
        <v>0</v>
      </c>
      <c r="I17" s="20"/>
      <c r="J17" s="16"/>
      <c r="K17" s="16"/>
      <c r="L17" s="16"/>
    </row>
    <row r="18" spans="1:12" hidden="1" outlineLevel="1" x14ac:dyDescent="0.2">
      <c r="A18" s="16">
        <f>+Mensual!B21</f>
        <v>410201</v>
      </c>
      <c r="B18" s="16">
        <f>+Mensual!C21</f>
        <v>0</v>
      </c>
      <c r="C18" s="16" t="str">
        <f>+Mensual!D21</f>
        <v>1.15 Aumento de ventas EXA Part´s (Interno + externo)</v>
      </c>
      <c r="D18" s="16">
        <f>+Mensual!E21</f>
        <v>0</v>
      </c>
      <c r="E18" s="16">
        <f>+Mensual!F21</f>
        <v>0.2</v>
      </c>
      <c r="F18" s="19">
        <v>5</v>
      </c>
      <c r="G18" s="19">
        <f t="shared" si="4"/>
        <v>1</v>
      </c>
      <c r="H18" s="20">
        <f t="shared" si="5"/>
        <v>0</v>
      </c>
      <c r="I18" s="20"/>
      <c r="J18" s="16"/>
      <c r="K18" s="16"/>
      <c r="L18" s="16"/>
    </row>
    <row r="19" spans="1:12" hidden="1" outlineLevel="1" x14ac:dyDescent="0.2">
      <c r="A19" s="16">
        <f>+Mensual!B22</f>
        <v>4101105</v>
      </c>
      <c r="B19" s="16">
        <f>+Mensual!C22</f>
        <v>0</v>
      </c>
      <c r="C19" s="16" t="str">
        <f>+Mensual!D22</f>
        <v xml:space="preserve">1.16  Aumentar servicio de almacenamiento y m&amp;r </v>
      </c>
      <c r="D19" s="16">
        <f>+Mensual!E22</f>
        <v>0</v>
      </c>
      <c r="E19" s="16">
        <f>+Mensual!F22</f>
        <v>0</v>
      </c>
      <c r="F19" s="19">
        <v>6</v>
      </c>
      <c r="G19" s="19">
        <f t="shared" si="4"/>
        <v>1</v>
      </c>
      <c r="H19" s="20">
        <f t="shared" si="5"/>
        <v>0</v>
      </c>
      <c r="I19" s="20"/>
      <c r="J19" s="16"/>
      <c r="K19" s="16"/>
      <c r="L19" s="16"/>
    </row>
    <row r="20" spans="1:12" hidden="1" outlineLevel="1" x14ac:dyDescent="0.2">
      <c r="A20" s="16">
        <f>+Mensual!B23</f>
        <v>0</v>
      </c>
      <c r="B20" s="16">
        <f>+Mensual!C23</f>
        <v>0</v>
      </c>
      <c r="C20" s="16" t="str">
        <f>+Mensual!D23</f>
        <v>1.17 Aumentar el numero de cliente semestralmente</v>
      </c>
      <c r="D20" s="16" t="str">
        <f>+Mensual!E23</f>
        <v>cliente</v>
      </c>
      <c r="E20" s="16">
        <f>+Mensual!F23</f>
        <v>1</v>
      </c>
      <c r="F20" s="19">
        <v>7</v>
      </c>
      <c r="G20" s="19">
        <f t="shared" si="4"/>
        <v>1</v>
      </c>
      <c r="H20" s="20">
        <f t="shared" si="5"/>
        <v>0</v>
      </c>
      <c r="I20" s="20"/>
      <c r="J20" s="16"/>
      <c r="K20" s="16"/>
      <c r="L20" s="16"/>
    </row>
    <row r="21" spans="1:12" hidden="1" outlineLevel="1" x14ac:dyDescent="0.2">
      <c r="A21" s="16">
        <f>+Mensual!B24</f>
        <v>0</v>
      </c>
      <c r="B21" s="16">
        <f>+Mensual!C24</f>
        <v>0</v>
      </c>
      <c r="C21" s="16">
        <f>+Mensual!D24</f>
        <v>0</v>
      </c>
      <c r="D21" s="16">
        <f>+Mensual!E24</f>
        <v>0</v>
      </c>
      <c r="E21" s="16">
        <f>+Mensual!F24</f>
        <v>0</v>
      </c>
      <c r="F21" s="19">
        <v>8</v>
      </c>
      <c r="G21" s="19">
        <f t="shared" si="4"/>
        <v>1</v>
      </c>
      <c r="H21" s="20">
        <f t="shared" si="5"/>
        <v>0</v>
      </c>
      <c r="I21" s="20"/>
      <c r="J21" s="16"/>
      <c r="K21" s="16"/>
      <c r="L21" s="16"/>
    </row>
    <row r="22" spans="1:12" hidden="1" outlineLevel="1" x14ac:dyDescent="0.2">
      <c r="A22" s="16">
        <f>+Mensual!B25</f>
        <v>0</v>
      </c>
      <c r="B22" s="16">
        <f>+Mensual!C25</f>
        <v>0</v>
      </c>
      <c r="C22" s="16">
        <f>+Mensual!D25</f>
        <v>0</v>
      </c>
      <c r="D22" s="16">
        <f>+Mensual!E25</f>
        <v>0</v>
      </c>
      <c r="E22" s="16">
        <f>+Mensual!F25</f>
        <v>0</v>
      </c>
      <c r="F22" s="19">
        <v>9</v>
      </c>
      <c r="G22" s="19">
        <f t="shared" si="4"/>
        <v>1</v>
      </c>
      <c r="H22" s="20">
        <f t="shared" si="5"/>
        <v>0</v>
      </c>
      <c r="I22" s="20"/>
      <c r="J22" s="16"/>
      <c r="K22" s="16"/>
      <c r="L22" s="16"/>
    </row>
    <row r="23" spans="1:12" hidden="1" outlineLevel="1" x14ac:dyDescent="0.2">
      <c r="A23" s="16">
        <f>+Mensual!B26</f>
        <v>0</v>
      </c>
      <c r="B23" s="16">
        <f>+Mensual!C26</f>
        <v>0</v>
      </c>
      <c r="C23" s="16">
        <f>+Mensual!D26</f>
        <v>0</v>
      </c>
      <c r="D23" s="16">
        <f>+Mensual!E26</f>
        <v>0</v>
      </c>
      <c r="E23" s="16">
        <f>+Mensual!F26</f>
        <v>0</v>
      </c>
      <c r="F23" s="19">
        <v>10</v>
      </c>
      <c r="G23" s="19">
        <f t="shared" si="4"/>
        <v>1</v>
      </c>
      <c r="H23" s="20">
        <f t="shared" si="5"/>
        <v>0</v>
      </c>
      <c r="I23" s="20"/>
      <c r="J23" s="16"/>
      <c r="K23" s="16"/>
      <c r="L23" s="16"/>
    </row>
    <row r="24" spans="1:12" collapsed="1" x14ac:dyDescent="0.2">
      <c r="A24" s="16">
        <f>+Mensual!B27</f>
        <v>2</v>
      </c>
      <c r="B24" s="16">
        <f>+Mensual!C27</f>
        <v>0.27500000000000002</v>
      </c>
      <c r="C24" s="16" t="str">
        <f>+Mensual!D27</f>
        <v>2. Aumentar margen neto</v>
      </c>
      <c r="D24" s="16">
        <f>+Mensual!E27</f>
        <v>0</v>
      </c>
      <c r="E24" s="16">
        <f>+Mensual!F27</f>
        <v>0.1</v>
      </c>
      <c r="F24" s="17">
        <v>0.1</v>
      </c>
      <c r="G24" s="19">
        <f t="shared" si="0"/>
        <v>1</v>
      </c>
      <c r="H24" s="20">
        <f t="shared" si="1"/>
        <v>0.27500000000000002</v>
      </c>
      <c r="I24" s="20">
        <v>0</v>
      </c>
      <c r="J24" s="23"/>
      <c r="K24" s="23"/>
      <c r="L24" s="17"/>
    </row>
    <row r="25" spans="1:12" hidden="1" outlineLevel="1" x14ac:dyDescent="0.2">
      <c r="A25" s="16">
        <f>+Mensual!B28</f>
        <v>0</v>
      </c>
      <c r="B25" s="16">
        <f>+Mensual!C28</f>
        <v>0</v>
      </c>
      <c r="C25" s="16" t="str">
        <f>+Mensual!D28</f>
        <v>2.1     Reducir gasto administrativo x%</v>
      </c>
      <c r="D25" s="16" t="str">
        <f>+Mensual!E28</f>
        <v>%</v>
      </c>
      <c r="E25" s="16">
        <f>+Mensual!F28</f>
        <v>0.1</v>
      </c>
      <c r="F25" s="16"/>
      <c r="G25" s="19">
        <f t="shared" si="0"/>
        <v>0</v>
      </c>
      <c r="H25" s="20">
        <f t="shared" si="1"/>
        <v>0</v>
      </c>
      <c r="I25" s="20"/>
      <c r="J25" s="16"/>
      <c r="K25" s="16"/>
      <c r="L25" s="16"/>
    </row>
    <row r="26" spans="1:12" hidden="1" outlineLevel="1" x14ac:dyDescent="0.2">
      <c r="A26" s="16">
        <f>+Mensual!B29</f>
        <v>0</v>
      </c>
      <c r="B26" s="16">
        <f>+Mensual!C29</f>
        <v>0</v>
      </c>
      <c r="C26" s="16" t="str">
        <f>+Mensual!D29</f>
        <v xml:space="preserve">2.2     Reducir costo de M&amp;R  de chasis propios </v>
      </c>
      <c r="D26" s="16" t="str">
        <f>+Mensual!E29</f>
        <v>$/km</v>
      </c>
      <c r="E26" s="16">
        <f>+Mensual!F29</f>
        <v>0.05</v>
      </c>
      <c r="F26" s="16"/>
      <c r="G26" s="19">
        <f t="shared" si="0"/>
        <v>0</v>
      </c>
      <c r="H26" s="20">
        <f t="shared" si="1"/>
        <v>0</v>
      </c>
      <c r="I26" s="20"/>
      <c r="J26" s="16"/>
      <c r="K26" s="16"/>
      <c r="L26" s="16"/>
    </row>
    <row r="27" spans="1:12" hidden="1" outlineLevel="1" x14ac:dyDescent="0.2">
      <c r="A27" s="16">
        <f>+Mensual!B30</f>
        <v>0</v>
      </c>
      <c r="B27" s="16">
        <f>+Mensual!C30</f>
        <v>0</v>
      </c>
      <c r="C27" s="16" t="str">
        <f>+Mensual!D30</f>
        <v>2.3     Reducir Costo por km cabezales propios.</v>
      </c>
      <c r="D27" s="16" t="str">
        <f>+Mensual!E30</f>
        <v>$</v>
      </c>
      <c r="E27" s="16">
        <f>+Mensual!F30</f>
        <v>0.05</v>
      </c>
      <c r="F27" s="16"/>
      <c r="G27" s="19">
        <f t="shared" si="0"/>
        <v>0</v>
      </c>
      <c r="H27" s="20">
        <f t="shared" si="1"/>
        <v>0</v>
      </c>
      <c r="I27" s="20"/>
      <c r="J27" s="16"/>
      <c r="K27" s="16"/>
      <c r="L27" s="16"/>
    </row>
    <row r="28" spans="1:12" hidden="1" outlineLevel="1" x14ac:dyDescent="0.2">
      <c r="A28" s="16">
        <f>+Mensual!B31</f>
        <v>0</v>
      </c>
      <c r="B28" s="16">
        <f>+Mensual!C31</f>
        <v>0</v>
      </c>
      <c r="C28" s="16" t="str">
        <f>+Mensual!D31</f>
        <v>2.4     Reducir Costo por km otros EXA.</v>
      </c>
      <c r="D28" s="16" t="str">
        <f>+Mensual!E31</f>
        <v>$</v>
      </c>
      <c r="E28" s="16">
        <f>+Mensual!F31</f>
        <v>0.05</v>
      </c>
      <c r="F28" s="16"/>
      <c r="G28" s="19">
        <f t="shared" si="0"/>
        <v>0</v>
      </c>
      <c r="H28" s="20">
        <f t="shared" si="1"/>
        <v>0</v>
      </c>
      <c r="I28" s="20"/>
      <c r="J28" s="16"/>
      <c r="K28" s="16"/>
      <c r="L28" s="16"/>
    </row>
    <row r="29" spans="1:12" hidden="1" outlineLevel="1" x14ac:dyDescent="0.2">
      <c r="A29" s="16">
        <f>+Mensual!B32</f>
        <v>0</v>
      </c>
      <c r="B29" s="16">
        <f>+Mensual!C32</f>
        <v>0</v>
      </c>
      <c r="C29" s="16" t="str">
        <f>+Mensual!D32</f>
        <v xml:space="preserve">2.5     Aumentar Margen neto en venta de contenedores (modificados y secos) </v>
      </c>
      <c r="D29" s="16" t="str">
        <f>+Mensual!E32</f>
        <v>%</v>
      </c>
      <c r="E29" s="16">
        <f>+Mensual!F32</f>
        <v>0.1</v>
      </c>
      <c r="F29" s="16"/>
      <c r="G29" s="19">
        <f t="shared" si="0"/>
        <v>0</v>
      </c>
      <c r="H29" s="20">
        <f t="shared" si="1"/>
        <v>0</v>
      </c>
      <c r="I29" s="20"/>
      <c r="J29" s="16"/>
      <c r="K29" s="16"/>
      <c r="L29" s="16"/>
    </row>
    <row r="30" spans="1:12" hidden="1" outlineLevel="1" x14ac:dyDescent="0.2">
      <c r="A30" s="16">
        <f>+Mensual!B33</f>
        <v>0</v>
      </c>
      <c r="B30" s="16">
        <f>+Mensual!C33</f>
        <v>0</v>
      </c>
      <c r="C30" s="16" t="str">
        <f>+Mensual!D33</f>
        <v>2.6     Aumento en 20% en margen de contribución bruta venta de contenedores</v>
      </c>
      <c r="D30" s="16" t="str">
        <f>+Mensual!E33</f>
        <v>$</v>
      </c>
      <c r="E30" s="16">
        <f>+Mensual!F33</f>
        <v>0.2</v>
      </c>
      <c r="F30" s="16"/>
      <c r="G30" s="19">
        <f t="shared" si="0"/>
        <v>0</v>
      </c>
      <c r="H30" s="20">
        <f t="shared" si="1"/>
        <v>0</v>
      </c>
      <c r="I30" s="20"/>
      <c r="J30" s="16"/>
      <c r="K30" s="16"/>
      <c r="L30" s="16"/>
    </row>
    <row r="31" spans="1:12" hidden="1" outlineLevel="1" x14ac:dyDescent="0.2">
      <c r="A31" s="16">
        <f>+Mensual!B34</f>
        <v>0</v>
      </c>
      <c r="B31" s="16">
        <f>+Mensual!C34</f>
        <v>0</v>
      </c>
      <c r="C31" s="16" t="str">
        <f>+Mensual!D34</f>
        <v>2.7     Aumento en 20% en margen de contribución bruta alquiler de bodegas</v>
      </c>
      <c r="D31" s="16" t="str">
        <f>+Mensual!E34</f>
        <v>$</v>
      </c>
      <c r="E31" s="16">
        <f>+Mensual!F34</f>
        <v>0.2</v>
      </c>
      <c r="F31" s="16"/>
      <c r="G31" s="19">
        <f t="shared" si="0"/>
        <v>0</v>
      </c>
      <c r="H31" s="20">
        <f t="shared" si="1"/>
        <v>0</v>
      </c>
      <c r="I31" s="20"/>
      <c r="J31" s="16"/>
      <c r="K31" s="16"/>
      <c r="L31" s="16"/>
    </row>
    <row r="32" spans="1:12" hidden="1" outlineLevel="1" x14ac:dyDescent="0.2">
      <c r="A32" s="16">
        <f>+Mensual!B35</f>
        <v>0</v>
      </c>
      <c r="B32" s="16">
        <f>+Mensual!C35</f>
        <v>0</v>
      </c>
      <c r="C32" s="16" t="str">
        <f>+Mensual!D35</f>
        <v>2.8     Aumento en 20% en margen de contribución bruta alquiler de reefers.</v>
      </c>
      <c r="D32" s="16" t="str">
        <f>+Mensual!E35</f>
        <v>$</v>
      </c>
      <c r="E32" s="16">
        <f>+Mensual!F35</f>
        <v>0.2</v>
      </c>
      <c r="F32" s="16"/>
      <c r="G32" s="19">
        <f t="shared" si="0"/>
        <v>0</v>
      </c>
      <c r="H32" s="20">
        <f t="shared" si="1"/>
        <v>0</v>
      </c>
      <c r="I32" s="20"/>
      <c r="J32" s="16"/>
      <c r="K32" s="16"/>
      <c r="L32" s="16"/>
    </row>
    <row r="33" spans="1:12" hidden="1" outlineLevel="1" x14ac:dyDescent="0.2">
      <c r="A33" s="16">
        <f>+Mensual!B36</f>
        <v>0</v>
      </c>
      <c r="B33" s="16">
        <f>+Mensual!C36</f>
        <v>0</v>
      </c>
      <c r="C33" s="16" t="str">
        <f>+Mensual!D36</f>
        <v>2.9     Reducir Costo administrativo Puerto Cortés con relacion al año anterior</v>
      </c>
      <c r="D33" s="16">
        <f>+Mensual!E36</f>
        <v>0</v>
      </c>
      <c r="E33" s="16">
        <f>+Mensual!F36</f>
        <v>0.05</v>
      </c>
      <c r="F33" s="16"/>
      <c r="G33" s="19">
        <f t="shared" si="0"/>
        <v>0</v>
      </c>
      <c r="H33" s="20">
        <f t="shared" si="1"/>
        <v>0</v>
      </c>
      <c r="I33" s="20"/>
      <c r="J33" s="16"/>
      <c r="K33" s="16"/>
      <c r="L33" s="16"/>
    </row>
    <row r="34" spans="1:12" hidden="1" outlineLevel="1" x14ac:dyDescent="0.2">
      <c r="A34" s="16">
        <f>+Mensual!B37</f>
        <v>0</v>
      </c>
      <c r="B34" s="16">
        <f>+Mensual!C37</f>
        <v>0</v>
      </c>
      <c r="C34" s="16" t="str">
        <f>+Mensual!D37</f>
        <v>2.10  Mantener el Gasto administrativo San Pedro Sula</v>
      </c>
      <c r="D34" s="16" t="str">
        <f>+Mensual!E37</f>
        <v>dolares</v>
      </c>
      <c r="E34" s="16">
        <f>+Mensual!F37</f>
        <v>0.13500000000000001</v>
      </c>
      <c r="F34" s="16"/>
      <c r="G34" s="19">
        <f t="shared" si="0"/>
        <v>0</v>
      </c>
      <c r="H34" s="20">
        <f t="shared" si="1"/>
        <v>0</v>
      </c>
      <c r="I34" s="20"/>
      <c r="J34" s="16"/>
      <c r="K34" s="16"/>
      <c r="L34" s="16"/>
    </row>
    <row r="35" spans="1:12" hidden="1" outlineLevel="1" x14ac:dyDescent="0.2">
      <c r="A35" s="16">
        <f>+Mensual!B38</f>
        <v>0</v>
      </c>
      <c r="B35" s="16">
        <f>+Mensual!C38</f>
        <v>0</v>
      </c>
      <c r="C35" s="16" t="str">
        <f>+Mensual!D38</f>
        <v>2.11   Gasto administrativo San Lorenzo</v>
      </c>
      <c r="D35" s="16">
        <f>+Mensual!E38</f>
        <v>0</v>
      </c>
      <c r="E35" s="16">
        <f>+Mensual!F38</f>
        <v>0.1</v>
      </c>
      <c r="F35" s="16"/>
      <c r="G35" s="19">
        <f t="shared" si="0"/>
        <v>0</v>
      </c>
      <c r="H35" s="20">
        <f t="shared" si="1"/>
        <v>0</v>
      </c>
      <c r="I35" s="20"/>
      <c r="J35" s="16"/>
      <c r="K35" s="16"/>
      <c r="L35" s="16"/>
    </row>
    <row r="36" spans="1:12" hidden="1" outlineLevel="1" x14ac:dyDescent="0.2">
      <c r="A36" s="16">
        <f>+Mensual!B39</f>
        <v>0</v>
      </c>
      <c r="B36" s="16">
        <f>+Mensual!C39</f>
        <v>0</v>
      </c>
      <c r="C36" s="16" t="str">
        <f>+Mensual!D39</f>
        <v>2.12   Costo por mes por GPS (Costo de plataforma + Tigo/claro + otros costos)</v>
      </c>
      <c r="D36" s="16" t="str">
        <f>+Mensual!E39</f>
        <v>$</v>
      </c>
      <c r="E36" s="16">
        <f>+Mensual!F39</f>
        <v>8</v>
      </c>
      <c r="F36" s="16"/>
      <c r="G36" s="19">
        <f t="shared" ref="G36:G40" si="6">IF(F36&gt;E36,1,IF(F36&lt;0,0,F36/E36))</f>
        <v>0</v>
      </c>
      <c r="H36" s="20">
        <f t="shared" ref="H36:H40" si="7">+G36*B36</f>
        <v>0</v>
      </c>
      <c r="I36" s="20"/>
      <c r="J36" s="16"/>
      <c r="K36" s="16"/>
      <c r="L36" s="16"/>
    </row>
    <row r="37" spans="1:12" hidden="1" outlineLevel="1" x14ac:dyDescent="0.2">
      <c r="A37" s="16">
        <f>+Mensual!B40</f>
        <v>0</v>
      </c>
      <c r="B37" s="16">
        <f>+Mensual!C40</f>
        <v>0</v>
      </c>
      <c r="C37" s="16" t="str">
        <f>+Mensual!D40</f>
        <v>2.13    Reducir Costo de M&amp;R por contenedor Puerto Cortes</v>
      </c>
      <c r="D37" s="16" t="str">
        <f>+Mensual!E40</f>
        <v>$/contenedor</v>
      </c>
      <c r="E37" s="16">
        <f>+Mensual!F40</f>
        <v>0.1</v>
      </c>
      <c r="F37" s="16"/>
      <c r="G37" s="19">
        <f t="shared" si="6"/>
        <v>0</v>
      </c>
      <c r="H37" s="20">
        <f t="shared" si="7"/>
        <v>0</v>
      </c>
      <c r="I37" s="20"/>
      <c r="J37" s="16"/>
      <c r="K37" s="16"/>
      <c r="L37" s="16"/>
    </row>
    <row r="38" spans="1:12" hidden="1" outlineLevel="1" x14ac:dyDescent="0.2">
      <c r="A38" s="16">
        <f>+Mensual!B41</f>
        <v>0</v>
      </c>
      <c r="B38" s="16">
        <f>+Mensual!C41</f>
        <v>0</v>
      </c>
      <c r="C38" s="16" t="str">
        <f>+Mensual!D41</f>
        <v>2.14   Reducir costo máquinas (incluye mulita y containers handler) Puerto Cortes</v>
      </c>
      <c r="D38" s="16" t="str">
        <f>+Mensual!E41</f>
        <v>$/contenedor</v>
      </c>
      <c r="E38" s="16">
        <f>+Mensual!F41</f>
        <v>0.1</v>
      </c>
      <c r="F38" s="16"/>
      <c r="G38" s="19">
        <f t="shared" si="6"/>
        <v>0</v>
      </c>
      <c r="H38" s="20">
        <f t="shared" si="7"/>
        <v>0</v>
      </c>
      <c r="I38" s="20"/>
      <c r="J38" s="16"/>
      <c r="K38" s="16"/>
      <c r="L38" s="16"/>
    </row>
    <row r="39" spans="1:12" hidden="1" outlineLevel="1" x14ac:dyDescent="0.2">
      <c r="A39" s="16">
        <f>+Mensual!B42</f>
        <v>0</v>
      </c>
      <c r="B39" s="16">
        <f>+Mensual!C42</f>
        <v>0</v>
      </c>
      <c r="C39" s="16" t="str">
        <f>+Mensual!D42</f>
        <v>2.15    Aumentar margen de M&amp;R por contenedor San Lorenzo</v>
      </c>
      <c r="D39" s="16">
        <f>+Mensual!E42</f>
        <v>0</v>
      </c>
      <c r="E39" s="16">
        <f>+Mensual!F42</f>
        <v>0</v>
      </c>
      <c r="F39" s="16"/>
      <c r="G39" s="19" t="e">
        <f t="shared" si="6"/>
        <v>#DIV/0!</v>
      </c>
      <c r="H39" s="20" t="e">
        <f t="shared" si="7"/>
        <v>#DIV/0!</v>
      </c>
      <c r="I39" s="20"/>
      <c r="J39" s="16"/>
      <c r="K39" s="16"/>
      <c r="L39" s="16"/>
    </row>
    <row r="40" spans="1:12" hidden="1" outlineLevel="1" x14ac:dyDescent="0.2">
      <c r="A40" s="16">
        <f>+Mensual!B43</f>
        <v>0</v>
      </c>
      <c r="B40" s="16">
        <f>+Mensual!C43</f>
        <v>0</v>
      </c>
      <c r="C40" s="16" t="str">
        <f>+Mensual!D43</f>
        <v>2.16   Reducir costo máquinas (incluye mulita y containers handler) San Lorenzo</v>
      </c>
      <c r="D40" s="16">
        <f>+Mensual!E43</f>
        <v>0</v>
      </c>
      <c r="E40" s="16">
        <f>+Mensual!F43</f>
        <v>0</v>
      </c>
      <c r="F40" s="16"/>
      <c r="G40" s="19" t="e">
        <f t="shared" si="6"/>
        <v>#DIV/0!</v>
      </c>
      <c r="H40" s="20" t="e">
        <f t="shared" si="7"/>
        <v>#DIV/0!</v>
      </c>
      <c r="I40" s="20"/>
      <c r="J40" s="16"/>
      <c r="K40" s="16"/>
      <c r="L40" s="16"/>
    </row>
    <row r="41" spans="1:12" hidden="1" outlineLevel="1" x14ac:dyDescent="0.2">
      <c r="A41" s="16">
        <f>+Mensual!B44</f>
        <v>0</v>
      </c>
      <c r="B41" s="16">
        <f>+Mensual!C44</f>
        <v>0</v>
      </c>
      <c r="C41" s="16" t="str">
        <f>+Mensual!D44</f>
        <v>2.17   Reducir costo por km/cabezal TRANEXPA</v>
      </c>
      <c r="D41" s="16">
        <f>+Mensual!E44</f>
        <v>0</v>
      </c>
      <c r="E41" s="16">
        <f>+Mensual!F44</f>
        <v>-0.1</v>
      </c>
      <c r="F41" s="16"/>
      <c r="G41" s="19">
        <f t="shared" ref="G41:G44" si="8">IF(F41&gt;E41,1,IF(F41&lt;0,0,F41/E41))</f>
        <v>1</v>
      </c>
      <c r="H41" s="20">
        <f t="shared" ref="H41:H44" si="9">+G41*B41</f>
        <v>0</v>
      </c>
      <c r="I41" s="20"/>
      <c r="J41" s="16"/>
      <c r="K41" s="16"/>
      <c r="L41" s="16"/>
    </row>
    <row r="42" spans="1:12" hidden="1" outlineLevel="1" x14ac:dyDescent="0.2">
      <c r="A42" s="16">
        <f>+Mensual!B45</f>
        <v>0</v>
      </c>
      <c r="B42" s="16">
        <f>+Mensual!C45</f>
        <v>0</v>
      </c>
      <c r="C42" s="16" t="str">
        <f>+Mensual!D45</f>
        <v>2.18 Reducir M&amp;R gensets $ /genset activo 10%</v>
      </c>
      <c r="D42" s="16" t="str">
        <f>+Mensual!E45</f>
        <v>dolares</v>
      </c>
      <c r="E42" s="16">
        <f>+Mensual!F45</f>
        <v>0.1</v>
      </c>
      <c r="F42" s="16"/>
      <c r="G42" s="19">
        <f t="shared" si="8"/>
        <v>0</v>
      </c>
      <c r="H42" s="20">
        <f t="shared" si="9"/>
        <v>0</v>
      </c>
      <c r="I42" s="20"/>
      <c r="J42" s="16"/>
      <c r="K42" s="16"/>
      <c r="L42" s="16"/>
    </row>
    <row r="43" spans="1:12" hidden="1" outlineLevel="1" x14ac:dyDescent="0.2">
      <c r="A43" s="16">
        <f>+Mensual!B46</f>
        <v>0</v>
      </c>
      <c r="B43" s="16">
        <f>+Mensual!C46</f>
        <v>0</v>
      </c>
      <c r="C43" s="16" t="str">
        <f>+Mensual!D46</f>
        <v>2.19 Gasto administrativo gasolinera 3%/ventas</v>
      </c>
      <c r="D43" s="16" t="str">
        <f>+Mensual!E46</f>
        <v>dolares</v>
      </c>
      <c r="E43" s="16">
        <f>+Mensual!F46</f>
        <v>0.03</v>
      </c>
      <c r="F43" s="16"/>
      <c r="G43" s="19">
        <f t="shared" si="8"/>
        <v>0</v>
      </c>
      <c r="H43" s="20">
        <f t="shared" si="9"/>
        <v>0</v>
      </c>
      <c r="I43" s="20"/>
      <c r="J43" s="16"/>
      <c r="K43" s="16"/>
      <c r="L43" s="16"/>
    </row>
    <row r="44" spans="1:12" hidden="1" outlineLevel="1" x14ac:dyDescent="0.2">
      <c r="A44" s="16">
        <f>+Mensual!B47</f>
        <v>0</v>
      </c>
      <c r="B44" s="16">
        <f>+Mensual!C47</f>
        <v>0</v>
      </c>
      <c r="C44" s="16" t="str">
        <f>+Mensual!D47</f>
        <v>2.20 Margen operativo de tienda</v>
      </c>
      <c r="D44" s="16">
        <f>+Mensual!E47</f>
        <v>0</v>
      </c>
      <c r="E44" s="16">
        <f>+Mensual!F47</f>
        <v>0.1</v>
      </c>
      <c r="F44" s="16"/>
      <c r="G44" s="19">
        <f t="shared" si="8"/>
        <v>0</v>
      </c>
      <c r="H44" s="20">
        <f t="shared" si="9"/>
        <v>0</v>
      </c>
      <c r="I44" s="20"/>
      <c r="J44" s="16"/>
      <c r="K44" s="16"/>
      <c r="L44" s="16"/>
    </row>
    <row r="45" spans="1:12" hidden="1" outlineLevel="1" x14ac:dyDescent="0.2">
      <c r="A45" s="16"/>
      <c r="B45" s="16"/>
      <c r="C45" s="16" t="str">
        <f>+Mensual!D48</f>
        <v>2.21  Aumentar % neto del servicio de transporte</v>
      </c>
      <c r="D45" s="16">
        <f>+Mensual!E48</f>
        <v>0</v>
      </c>
      <c r="E45" s="16">
        <f>+Mensual!F48</f>
        <v>0.1</v>
      </c>
      <c r="F45" s="16"/>
      <c r="G45" s="19">
        <f t="shared" ref="G45" si="10">IF(F45&gt;E45,1,IF(F45&lt;0,0,F45/E45))</f>
        <v>0</v>
      </c>
      <c r="H45" s="20">
        <f t="shared" ref="H45" si="11">+G45*B45</f>
        <v>0</v>
      </c>
      <c r="I45" s="20"/>
      <c r="J45" s="16"/>
      <c r="K45" s="16"/>
      <c r="L45" s="16"/>
    </row>
    <row r="46" spans="1:12" hidden="1" outlineLevel="1" x14ac:dyDescent="0.2">
      <c r="A46" s="16"/>
      <c r="B46" s="16"/>
      <c r="C46" s="16" t="str">
        <f>+Mensual!D49</f>
        <v>2.22 Aumentar margen neto alquiler de contenedores secos (solo o en combo) TREXA</v>
      </c>
      <c r="D46" s="16">
        <f>+Mensual!E49</f>
        <v>0</v>
      </c>
      <c r="E46" s="16">
        <f>+Mensual!F49</f>
        <v>0.1</v>
      </c>
      <c r="F46" s="16"/>
      <c r="G46" s="19">
        <f t="shared" ref="G46" si="12">IF(F46&gt;E46,1,IF(F46&lt;0,0,F46/E46))</f>
        <v>0</v>
      </c>
      <c r="H46" s="20">
        <f t="shared" ref="H46" si="13">+G46*B46</f>
        <v>0</v>
      </c>
      <c r="I46" s="20"/>
      <c r="J46" s="16"/>
      <c r="K46" s="16"/>
      <c r="L46" s="16"/>
    </row>
    <row r="47" spans="1:12" collapsed="1" x14ac:dyDescent="0.2">
      <c r="A47" s="16">
        <f>+Mensual!B50</f>
        <v>3</v>
      </c>
      <c r="B47" s="16">
        <f>+Mensual!C50</f>
        <v>0.05</v>
      </c>
      <c r="C47" s="16" t="str">
        <f>+Mensual!D50</f>
        <v>3. Cero incidentes mayores de seguridad y sostenibilidad</v>
      </c>
      <c r="D47" s="16">
        <f>+Mensual!E50</f>
        <v>0</v>
      </c>
      <c r="E47" s="16">
        <f>+Mensual!F50</f>
        <v>1</v>
      </c>
      <c r="F47" s="17">
        <v>1</v>
      </c>
      <c r="G47" s="19">
        <f t="shared" si="0"/>
        <v>1</v>
      </c>
      <c r="H47" s="20">
        <f t="shared" si="1"/>
        <v>0.05</v>
      </c>
      <c r="I47" s="20" t="s">
        <v>251</v>
      </c>
      <c r="J47" s="21"/>
      <c r="K47" s="21"/>
      <c r="L47" s="16">
        <v>0</v>
      </c>
    </row>
    <row r="48" spans="1:12" hidden="1" outlineLevel="1" x14ac:dyDescent="0.2">
      <c r="A48" s="16">
        <f>+Mensual!B51</f>
        <v>0</v>
      </c>
      <c r="B48" s="16">
        <f>+Mensual!C51</f>
        <v>0</v>
      </c>
      <c r="C48" s="16" t="str">
        <f>+Mensual!D51</f>
        <v xml:space="preserve">3.1     Robos. </v>
      </c>
      <c r="D48" s="16">
        <f>+Mensual!E51</f>
        <v>0</v>
      </c>
      <c r="E48" s="16">
        <f>+Mensual!F51</f>
        <v>0</v>
      </c>
      <c r="F48" s="17"/>
      <c r="G48" s="19" t="e">
        <f t="shared" si="0"/>
        <v>#DIV/0!</v>
      </c>
      <c r="H48" s="20" t="e">
        <f t="shared" si="1"/>
        <v>#DIV/0!</v>
      </c>
      <c r="I48" s="20"/>
      <c r="J48" s="16"/>
      <c r="K48" s="16"/>
      <c r="L48" s="16"/>
    </row>
    <row r="49" spans="1:12" hidden="1" outlineLevel="1" x14ac:dyDescent="0.2">
      <c r="A49" s="16">
        <f>+Mensual!B52</f>
        <v>0</v>
      </c>
      <c r="B49" s="16">
        <f>+Mensual!C52</f>
        <v>0</v>
      </c>
      <c r="C49" s="16" t="str">
        <f>+Mensual!D52</f>
        <v>3.2     Accidentes.</v>
      </c>
      <c r="D49" s="16">
        <f>+Mensual!E52</f>
        <v>0</v>
      </c>
      <c r="E49" s="16">
        <f>+Mensual!F52</f>
        <v>0</v>
      </c>
      <c r="F49" s="17"/>
      <c r="G49" s="19" t="e">
        <f t="shared" si="0"/>
        <v>#DIV/0!</v>
      </c>
      <c r="H49" s="20" t="e">
        <f t="shared" si="1"/>
        <v>#DIV/0!</v>
      </c>
      <c r="I49" s="20"/>
      <c r="J49" s="16"/>
      <c r="K49" s="16"/>
      <c r="L49" s="16"/>
    </row>
    <row r="50" spans="1:12" hidden="1" outlineLevel="1" x14ac:dyDescent="0.2">
      <c r="A50" s="16">
        <f>+Mensual!B53</f>
        <v>0</v>
      </c>
      <c r="B50" s="16">
        <f>+Mensual!C53</f>
        <v>0</v>
      </c>
      <c r="C50" s="16" t="str">
        <f>+Mensual!D53</f>
        <v>3.3     No conformidades mayores.</v>
      </c>
      <c r="D50" s="16">
        <f>+Mensual!E53</f>
        <v>0</v>
      </c>
      <c r="E50" s="16">
        <f>+Mensual!F53</f>
        <v>0</v>
      </c>
      <c r="F50" s="17"/>
      <c r="G50" s="19" t="e">
        <f t="shared" si="0"/>
        <v>#DIV/0!</v>
      </c>
      <c r="H50" s="20" t="e">
        <f t="shared" si="1"/>
        <v>#DIV/0!</v>
      </c>
      <c r="I50" s="20"/>
      <c r="J50" s="16"/>
      <c r="K50" s="16"/>
      <c r="L50" s="16"/>
    </row>
    <row r="51" spans="1:12" hidden="1" outlineLevel="1" x14ac:dyDescent="0.2">
      <c r="A51" s="16">
        <f>+Mensual!B54</f>
        <v>0</v>
      </c>
      <c r="B51" s="16">
        <f>+Mensual!C54</f>
        <v>0</v>
      </c>
      <c r="C51" s="16" t="str">
        <f>+Mensual!D54</f>
        <v>3.4     Pérdida de clientes estratégicos,</v>
      </c>
      <c r="D51" s="16">
        <f>+Mensual!E54</f>
        <v>0</v>
      </c>
      <c r="E51" s="16">
        <f>+Mensual!F54</f>
        <v>0</v>
      </c>
      <c r="F51" s="17"/>
      <c r="G51" s="19" t="e">
        <f t="shared" si="0"/>
        <v>#DIV/0!</v>
      </c>
      <c r="H51" s="20" t="e">
        <f t="shared" si="1"/>
        <v>#DIV/0!</v>
      </c>
      <c r="I51" s="20"/>
      <c r="J51" s="16"/>
      <c r="K51" s="16"/>
      <c r="L51" s="16"/>
    </row>
    <row r="52" spans="1:12" hidden="1" outlineLevel="1" x14ac:dyDescent="0.2">
      <c r="A52" s="16">
        <f>+Mensual!B55</f>
        <v>0</v>
      </c>
      <c r="B52" s="16">
        <f>+Mensual!C55</f>
        <v>0</v>
      </c>
      <c r="C52" s="16" t="str">
        <f>+Mensual!D55</f>
        <v>3.5     Multas ambientales y fiscales.</v>
      </c>
      <c r="D52" s="16">
        <f>+Mensual!E55</f>
        <v>0</v>
      </c>
      <c r="E52" s="16">
        <f>+Mensual!F55</f>
        <v>0</v>
      </c>
      <c r="F52" s="17"/>
      <c r="G52" s="19" t="e">
        <f t="shared" si="0"/>
        <v>#DIV/0!</v>
      </c>
      <c r="H52" s="20" t="e">
        <f t="shared" si="1"/>
        <v>#DIV/0!</v>
      </c>
      <c r="I52" s="20"/>
      <c r="J52" s="16"/>
      <c r="K52" s="16"/>
      <c r="L52" s="16"/>
    </row>
    <row r="53" spans="1:12" hidden="1" outlineLevel="1" x14ac:dyDescent="0.2">
      <c r="A53" s="16">
        <f>+Mensual!B56</f>
        <v>0</v>
      </c>
      <c r="B53" s="16">
        <f>+Mensual!C56</f>
        <v>0</v>
      </c>
      <c r="C53" s="16" t="str">
        <f>+Mensual!D56</f>
        <v>3.6    Cierres contables a mas tardar el 6 de cada mes</v>
      </c>
      <c r="D53" s="16" t="str">
        <f>+Mensual!E56</f>
        <v># de cierres a tiempo</v>
      </c>
      <c r="E53" s="16">
        <f>+Mensual!F56</f>
        <v>6</v>
      </c>
      <c r="F53" s="17"/>
      <c r="G53" s="19">
        <f t="shared" ref="G53:G58" si="14">IF(F53&gt;E53,1,IF(F53&lt;0,0,F53/E53))</f>
        <v>0</v>
      </c>
      <c r="H53" s="20">
        <f t="shared" ref="H53:H58" si="15">+G53*B53</f>
        <v>0</v>
      </c>
      <c r="I53" s="20"/>
      <c r="J53" s="16"/>
      <c r="K53" s="16"/>
      <c r="L53" s="16"/>
    </row>
    <row r="54" spans="1:12" hidden="1" outlineLevel="1" x14ac:dyDescent="0.2">
      <c r="A54" s="16"/>
      <c r="B54" s="16">
        <f>+Mensual!C57</f>
        <v>0</v>
      </c>
      <c r="C54" s="16" t="str">
        <f>+Mensual!D57</f>
        <v>3.6.1 Cierre TREXA</v>
      </c>
      <c r="D54" s="16" t="str">
        <f>+Mensual!E57</f>
        <v># de cierres a tiempo</v>
      </c>
      <c r="E54" s="16">
        <f>+Mensual!F57</f>
        <v>1</v>
      </c>
      <c r="F54" s="17"/>
      <c r="G54" s="19">
        <f t="shared" ref="G54" si="16">IF(F54&gt;E54,1,IF(F54&lt;0,0,F54/E54))</f>
        <v>0</v>
      </c>
      <c r="H54" s="20">
        <f t="shared" ref="H54" si="17">+G54*B54</f>
        <v>0</v>
      </c>
      <c r="I54" s="20"/>
      <c r="J54" s="16"/>
      <c r="K54" s="16"/>
      <c r="L54" s="16"/>
    </row>
    <row r="55" spans="1:12" hidden="1" outlineLevel="1" x14ac:dyDescent="0.2">
      <c r="A55" s="16">
        <f>+Mensual!B58</f>
        <v>0</v>
      </c>
      <c r="B55" s="16">
        <f>+Mensual!C58</f>
        <v>0</v>
      </c>
      <c r="C55" s="16" t="str">
        <f>+Mensual!D58</f>
        <v>3.7 Cero accidente mayores Y/O robos TRANEXPA</v>
      </c>
      <c r="D55" s="16">
        <f>+Mensual!E58</f>
        <v>0</v>
      </c>
      <c r="E55" s="16">
        <f>+Mensual!F58</f>
        <v>0</v>
      </c>
      <c r="F55" s="17"/>
      <c r="G55" s="19" t="e">
        <f t="shared" si="14"/>
        <v>#DIV/0!</v>
      </c>
      <c r="H55" s="20" t="e">
        <f t="shared" si="15"/>
        <v>#DIV/0!</v>
      </c>
      <c r="I55" s="20"/>
      <c r="J55" s="16"/>
      <c r="K55" s="16"/>
      <c r="L55" s="16"/>
    </row>
    <row r="56" spans="1:12" hidden="1" outlineLevel="1" x14ac:dyDescent="0.2">
      <c r="A56" s="16">
        <f>+Mensual!B59</f>
        <v>0</v>
      </c>
      <c r="B56" s="16">
        <f>+Mensual!C59</f>
        <v>0</v>
      </c>
      <c r="C56" s="16" t="str">
        <f>+Mensual!D59</f>
        <v>2.21 Margen operativo de la gasolinera</v>
      </c>
      <c r="D56" s="16" t="str">
        <f>+Mensual!E59</f>
        <v>dolares</v>
      </c>
      <c r="E56" s="16">
        <f>+Mensual!F59</f>
        <v>0.1</v>
      </c>
      <c r="F56" s="17"/>
      <c r="G56" s="19">
        <f t="shared" si="14"/>
        <v>0</v>
      </c>
      <c r="H56" s="20">
        <f t="shared" si="15"/>
        <v>0</v>
      </c>
      <c r="I56" s="20"/>
      <c r="J56" s="16"/>
      <c r="K56" s="16"/>
      <c r="L56" s="16"/>
    </row>
    <row r="57" spans="1:12" hidden="1" outlineLevel="1" x14ac:dyDescent="0.2">
      <c r="A57" s="16">
        <f>+Mensual!B60</f>
        <v>0</v>
      </c>
      <c r="B57" s="16">
        <f>+Mensual!C60</f>
        <v>0</v>
      </c>
      <c r="C57" s="16" t="str">
        <f>+Mensual!D60</f>
        <v>3.8  Aumentar satisfaccion al cliente</v>
      </c>
      <c r="D57" s="16">
        <f>+Mensual!E60</f>
        <v>0</v>
      </c>
      <c r="E57" s="16">
        <f>+Mensual!F60</f>
        <v>0.1</v>
      </c>
      <c r="F57" s="17"/>
      <c r="G57" s="19">
        <f t="shared" si="14"/>
        <v>0</v>
      </c>
      <c r="H57" s="20">
        <f t="shared" si="15"/>
        <v>0</v>
      </c>
      <c r="I57" s="20"/>
      <c r="J57" s="16"/>
      <c r="K57" s="16"/>
      <c r="L57" s="16"/>
    </row>
    <row r="58" spans="1:12" hidden="1" outlineLevel="1" x14ac:dyDescent="0.2">
      <c r="A58" s="16">
        <f>+Mensual!B61</f>
        <v>0</v>
      </c>
      <c r="B58" s="16">
        <f>+Mensual!C61</f>
        <v>0</v>
      </c>
      <c r="C58" s="16" t="str">
        <f>+Mensual!D61</f>
        <v>3.9 On time delivery without sevice incidents</v>
      </c>
      <c r="D58" s="16">
        <f>+Mensual!E61</f>
        <v>0</v>
      </c>
      <c r="E58" s="16">
        <f>+Mensual!F61</f>
        <v>0.995</v>
      </c>
      <c r="F58" s="17"/>
      <c r="G58" s="19">
        <f t="shared" si="14"/>
        <v>0</v>
      </c>
      <c r="H58" s="20">
        <f t="shared" si="15"/>
        <v>0</v>
      </c>
      <c r="I58" s="20"/>
      <c r="J58" s="16"/>
      <c r="K58" s="16"/>
      <c r="L58" s="16"/>
    </row>
    <row r="59" spans="1:12" collapsed="1" x14ac:dyDescent="0.2">
      <c r="A59" s="16">
        <f>+Mensual!B62</f>
        <v>4</v>
      </c>
      <c r="B59" s="16">
        <f>+Mensual!C62</f>
        <v>0.1</v>
      </c>
      <c r="C59" s="16" t="str">
        <f>+Mensual!D62</f>
        <v>4. Aumentar clima laboral</v>
      </c>
      <c r="D59" s="16">
        <f>+Mensual!E62</f>
        <v>0</v>
      </c>
      <c r="E59" s="16">
        <f>+Mensual!F62</f>
        <v>0.1</v>
      </c>
      <c r="F59" s="17">
        <v>0.1</v>
      </c>
      <c r="G59" s="19">
        <f t="shared" si="0"/>
        <v>1</v>
      </c>
      <c r="H59" s="20">
        <f t="shared" si="1"/>
        <v>0.1</v>
      </c>
      <c r="I59" s="20"/>
      <c r="J59" s="16"/>
      <c r="K59" s="16"/>
      <c r="L59" s="16"/>
    </row>
    <row r="60" spans="1:12" x14ac:dyDescent="0.2">
      <c r="A60" s="16">
        <f>+Mensual!B63</f>
        <v>0</v>
      </c>
      <c r="B60" s="16">
        <f>+Mensual!C63</f>
        <v>0</v>
      </c>
      <c r="C60" s="16">
        <f>+Mensual!D63</f>
        <v>0</v>
      </c>
      <c r="D60" s="16">
        <f>+Mensual!E63</f>
        <v>0</v>
      </c>
      <c r="E60" s="16">
        <f>+Mensual!F63</f>
        <v>0</v>
      </c>
      <c r="F60" s="17">
        <v>1.1000000000000001</v>
      </c>
      <c r="G60" s="19">
        <f t="shared" ref="G60:G63" si="18">IF(F60&gt;E60,1,IF(F60&lt;0,0,F60/E60))</f>
        <v>1</v>
      </c>
      <c r="H60" s="20">
        <f t="shared" ref="H60:H63" si="19">+G60*B60</f>
        <v>0</v>
      </c>
      <c r="I60" s="20"/>
      <c r="J60" s="16"/>
      <c r="K60" s="16"/>
      <c r="L60" s="16"/>
    </row>
    <row r="61" spans="1:12" x14ac:dyDescent="0.2">
      <c r="A61" s="16">
        <f>+Mensual!B64</f>
        <v>0</v>
      </c>
      <c r="B61" s="16">
        <f>+Mensual!C64</f>
        <v>0</v>
      </c>
      <c r="C61" s="16">
        <f>+Mensual!D64</f>
        <v>0.5</v>
      </c>
      <c r="D61" s="16">
        <f>+Mensual!E64</f>
        <v>0</v>
      </c>
      <c r="E61" s="16">
        <f>+Mensual!F64</f>
        <v>0</v>
      </c>
      <c r="F61" s="17">
        <v>2.1</v>
      </c>
      <c r="G61" s="19">
        <f t="shared" si="18"/>
        <v>1</v>
      </c>
      <c r="H61" s="20">
        <f t="shared" si="19"/>
        <v>0</v>
      </c>
      <c r="I61" s="20"/>
      <c r="J61" s="16"/>
      <c r="K61" s="16"/>
      <c r="L61" s="16"/>
    </row>
    <row r="62" spans="1:12" x14ac:dyDescent="0.2">
      <c r="A62" s="16">
        <f>+Mensual!B65</f>
        <v>0</v>
      </c>
      <c r="B62" s="16">
        <f>+Mensual!C65</f>
        <v>0</v>
      </c>
      <c r="C62" s="16">
        <f>+Mensual!D65</f>
        <v>0</v>
      </c>
      <c r="D62" s="16">
        <f>+Mensual!E65</f>
        <v>0</v>
      </c>
      <c r="E62" s="16">
        <f>+Mensual!F65</f>
        <v>0</v>
      </c>
      <c r="F62" s="17">
        <v>3.1</v>
      </c>
      <c r="G62" s="19">
        <f t="shared" si="18"/>
        <v>1</v>
      </c>
      <c r="H62" s="20">
        <f t="shared" si="19"/>
        <v>0</v>
      </c>
      <c r="I62" s="20"/>
      <c r="J62" s="16"/>
      <c r="K62" s="16"/>
      <c r="L62" s="16"/>
    </row>
    <row r="63" spans="1:12" x14ac:dyDescent="0.2">
      <c r="A63" s="16">
        <f>+Mensual!B66</f>
        <v>0</v>
      </c>
      <c r="B63" s="16">
        <f>+Mensual!C66</f>
        <v>0</v>
      </c>
      <c r="C63" s="16">
        <f>+Mensual!D66</f>
        <v>0</v>
      </c>
      <c r="D63" s="16">
        <f>+Mensual!E66</f>
        <v>0</v>
      </c>
      <c r="E63" s="16">
        <f>+Mensual!F66</f>
        <v>0</v>
      </c>
      <c r="F63" s="17">
        <v>4.0999999999999996</v>
      </c>
      <c r="G63" s="19">
        <f t="shared" si="18"/>
        <v>1</v>
      </c>
      <c r="H63" s="20">
        <f t="shared" si="19"/>
        <v>0</v>
      </c>
      <c r="I63" s="20"/>
      <c r="J63" s="16"/>
      <c r="K63" s="16"/>
      <c r="L63" s="16"/>
    </row>
    <row r="64" spans="1:12" x14ac:dyDescent="0.2">
      <c r="A64" s="16">
        <f>+Mensual!B67</f>
        <v>5</v>
      </c>
      <c r="B64" s="16">
        <f>+Mensual!C67</f>
        <v>0.1</v>
      </c>
      <c r="C64" s="16" t="str">
        <f>+Mensual!D67</f>
        <v>5. Productividad</v>
      </c>
      <c r="D64" s="16">
        <f>+Mensual!E67</f>
        <v>0</v>
      </c>
      <c r="E64" s="16">
        <f>+Mensual!F67</f>
        <v>3700</v>
      </c>
      <c r="F64" s="26">
        <v>3457</v>
      </c>
      <c r="G64" s="19">
        <f t="shared" si="0"/>
        <v>0.93432432432432433</v>
      </c>
      <c r="H64" s="20">
        <f t="shared" si="1"/>
        <v>9.3432432432432433E-2</v>
      </c>
      <c r="I64" s="20" t="s">
        <v>257</v>
      </c>
      <c r="J64" s="16" t="s">
        <v>258</v>
      </c>
      <c r="K64" s="16" t="s">
        <v>259</v>
      </c>
      <c r="L64" s="16" t="s">
        <v>260</v>
      </c>
    </row>
    <row r="65" spans="1:12" outlineLevel="1" x14ac:dyDescent="0.2">
      <c r="A65" s="16">
        <f>+Mensual!B68</f>
        <v>0</v>
      </c>
      <c r="B65" s="16">
        <f>+Mensual!C68</f>
        <v>0</v>
      </c>
      <c r="C65" s="16" t="str">
        <f>+Mensual!D68</f>
        <v>5.1     Productividad kms/cabezal/mes.</v>
      </c>
      <c r="D65" s="16">
        <f>+Mensual!E68</f>
        <v>0</v>
      </c>
      <c r="E65" s="16">
        <f>+Mensual!F68</f>
        <v>3700</v>
      </c>
      <c r="F65" s="25">
        <v>3457</v>
      </c>
      <c r="G65" s="19">
        <f t="shared" si="0"/>
        <v>0.93432432432432433</v>
      </c>
      <c r="H65" s="20">
        <f>+G65*B65</f>
        <v>0</v>
      </c>
      <c r="I65" s="20"/>
      <c r="J65" s="16"/>
      <c r="K65" s="16"/>
      <c r="L65" s="16"/>
    </row>
    <row r="66" spans="1:12" outlineLevel="1" x14ac:dyDescent="0.2">
      <c r="A66" s="16">
        <f>+Mensual!B69</f>
        <v>0</v>
      </c>
      <c r="B66" s="16">
        <f>+Mensual!C69</f>
        <v>0.08</v>
      </c>
      <c r="C66" s="16" t="str">
        <f>+Mensual!D69</f>
        <v>5.2     Productividad cabezales Flota Nueva</v>
      </c>
      <c r="D66" s="16">
        <f>+Mensual!E69</f>
        <v>0</v>
      </c>
      <c r="E66" s="16">
        <f>+Mensual!F69</f>
        <v>4500</v>
      </c>
      <c r="F66" s="16">
        <v>5167</v>
      </c>
      <c r="G66" s="19">
        <f t="shared" si="0"/>
        <v>1</v>
      </c>
      <c r="H66" s="20">
        <f>+G66*B66</f>
        <v>0.08</v>
      </c>
      <c r="I66" s="20"/>
      <c r="J66" s="16"/>
      <c r="K66" s="16"/>
      <c r="L66" s="16"/>
    </row>
    <row r="67" spans="1:12" outlineLevel="1" x14ac:dyDescent="0.2">
      <c r="A67" s="16">
        <f>+Mensual!B70</f>
        <v>0</v>
      </c>
      <c r="B67" s="16">
        <f>+Mensual!C70</f>
        <v>0.12</v>
      </c>
      <c r="C67" s="16" t="str">
        <f>+Mensual!D70</f>
        <v>5.3     Productividad cabezales  TRANEXPA</v>
      </c>
      <c r="D67" s="16">
        <f>+Mensual!E70</f>
        <v>0</v>
      </c>
      <c r="E67" s="16">
        <f>+Mensual!F70</f>
        <v>4000</v>
      </c>
      <c r="F67" s="16">
        <v>3619</v>
      </c>
      <c r="G67" s="19">
        <f t="shared" si="0"/>
        <v>0.90475000000000005</v>
      </c>
      <c r="H67" s="20">
        <f>+G67*B67</f>
        <v>0.10857</v>
      </c>
      <c r="I67" s="20"/>
      <c r="J67" s="16"/>
      <c r="K67" s="16"/>
      <c r="L67" s="16"/>
    </row>
    <row r="68" spans="1:12" outlineLevel="1" x14ac:dyDescent="0.2">
      <c r="A68" s="16">
        <f>+Mensual!B71</f>
        <v>0</v>
      </c>
      <c r="B68" s="16">
        <f>+Mensual!C71</f>
        <v>0.1</v>
      </c>
      <c r="C68" s="16" t="str">
        <f>+Mensual!D71</f>
        <v>5.4     Productividad cabezales  IPH</v>
      </c>
      <c r="D68" s="16">
        <f>+Mensual!E71</f>
        <v>0</v>
      </c>
      <c r="E68" s="16">
        <f>+Mensual!F71</f>
        <v>3800</v>
      </c>
      <c r="F68" s="16">
        <v>5278</v>
      </c>
      <c r="G68" s="19">
        <f t="shared" si="0"/>
        <v>1</v>
      </c>
      <c r="H68" s="20">
        <f>+G68*B68</f>
        <v>0.1</v>
      </c>
      <c r="I68" s="20"/>
      <c r="J68" s="16"/>
      <c r="K68" s="16"/>
      <c r="L68" s="16"/>
    </row>
    <row r="69" spans="1:12" outlineLevel="1" x14ac:dyDescent="0.2">
      <c r="A69" s="16">
        <f>+Mensual!B72</f>
        <v>0</v>
      </c>
      <c r="B69" s="16">
        <f>+Mensual!C72</f>
        <v>0.7</v>
      </c>
      <c r="C69" s="16" t="str">
        <f>+Mensual!D72</f>
        <v xml:space="preserve">5.5     Productividad cabezales Particulares. </v>
      </c>
      <c r="D69" s="16">
        <f>+Mensual!E72</f>
        <v>0</v>
      </c>
      <c r="E69" s="16">
        <f>+Mensual!F72</f>
        <v>3500</v>
      </c>
      <c r="F69" s="16">
        <v>3020</v>
      </c>
      <c r="G69" s="19">
        <f t="shared" si="0"/>
        <v>0.86285714285714288</v>
      </c>
      <c r="H69" s="20">
        <f>+G69*B69</f>
        <v>0.60399999999999998</v>
      </c>
      <c r="I69" s="20"/>
      <c r="J69" s="16"/>
      <c r="K69" s="16"/>
      <c r="L69" s="16"/>
    </row>
    <row r="70" spans="1:12" outlineLevel="1" x14ac:dyDescent="0.2">
      <c r="A70" s="16"/>
      <c r="B70" s="16"/>
      <c r="C70" s="16" t="str">
        <f>+Mensual!D73</f>
        <v xml:space="preserve">5.5.1     Productividad cabezales Tranexpa Particulares. </v>
      </c>
      <c r="D70" s="16">
        <f>+Mensual!E73</f>
        <v>0</v>
      </c>
      <c r="E70" s="16">
        <f>+Mensual!F73</f>
        <v>3500</v>
      </c>
      <c r="F70" s="16">
        <v>3021</v>
      </c>
      <c r="G70" s="19">
        <f t="shared" ref="G70:G74" si="20">IF(F70&gt;E70,1,IF(F70&lt;0,0,F70/E70))</f>
        <v>0.8631428571428571</v>
      </c>
      <c r="H70" s="20">
        <f t="shared" ref="H70:H74" si="21">+G70*B70</f>
        <v>0</v>
      </c>
      <c r="I70" s="20"/>
      <c r="J70" s="16"/>
      <c r="K70" s="16"/>
      <c r="L70" s="16"/>
    </row>
    <row r="71" spans="1:12" outlineLevel="1" x14ac:dyDescent="0.2">
      <c r="A71" s="16"/>
      <c r="B71" s="16"/>
      <c r="C71" s="16" t="str">
        <f>+Mensual!D74</f>
        <v>5.5.2     Productividad cabezales Ponce</v>
      </c>
      <c r="D71" s="16">
        <f>+Mensual!E74</f>
        <v>0</v>
      </c>
      <c r="E71" s="16">
        <f>+Mensual!F74</f>
        <v>3500</v>
      </c>
      <c r="F71" s="16">
        <v>3022</v>
      </c>
      <c r="G71" s="19">
        <f t="shared" si="20"/>
        <v>0.86342857142857143</v>
      </c>
      <c r="H71" s="20">
        <f t="shared" si="21"/>
        <v>0</v>
      </c>
      <c r="I71" s="20"/>
      <c r="J71" s="16"/>
      <c r="K71" s="16"/>
      <c r="L71" s="16"/>
    </row>
    <row r="72" spans="1:12" outlineLevel="1" x14ac:dyDescent="0.2">
      <c r="A72" s="16"/>
      <c r="B72" s="16"/>
      <c r="C72" s="16" t="str">
        <f>+Mensual!D75</f>
        <v>5.5.3     Productividad cabezales Moreno</v>
      </c>
      <c r="D72" s="16">
        <f>+Mensual!E75</f>
        <v>0</v>
      </c>
      <c r="E72" s="16">
        <f>+Mensual!F75</f>
        <v>3500</v>
      </c>
      <c r="F72" s="16">
        <v>3023</v>
      </c>
      <c r="G72" s="19">
        <f t="shared" si="20"/>
        <v>0.86371428571428577</v>
      </c>
      <c r="H72" s="20">
        <f t="shared" si="21"/>
        <v>0</v>
      </c>
      <c r="I72" s="20"/>
      <c r="J72" s="16"/>
      <c r="K72" s="16"/>
      <c r="L72" s="16"/>
    </row>
    <row r="73" spans="1:12" outlineLevel="1" x14ac:dyDescent="0.2">
      <c r="A73" s="16"/>
      <c r="B73" s="16"/>
      <c r="C73" s="16" t="str">
        <f>+Mensual!D76</f>
        <v>5.5.4     Productividad cabezales Obregon</v>
      </c>
      <c r="D73" s="16">
        <f>+Mensual!E76</f>
        <v>0</v>
      </c>
      <c r="E73" s="16">
        <f>+Mensual!F76</f>
        <v>3500</v>
      </c>
      <c r="F73" s="16">
        <v>3024</v>
      </c>
      <c r="G73" s="19">
        <f t="shared" si="20"/>
        <v>0.86399999999999999</v>
      </c>
      <c r="H73" s="20">
        <f t="shared" si="21"/>
        <v>0</v>
      </c>
      <c r="I73" s="20"/>
      <c r="J73" s="16"/>
      <c r="K73" s="16"/>
      <c r="L73" s="16"/>
    </row>
    <row r="74" spans="1:12" outlineLevel="1" x14ac:dyDescent="0.2">
      <c r="A74" s="16"/>
      <c r="B74" s="16"/>
      <c r="C74" s="16" t="str">
        <f>+Mensual!D77</f>
        <v>5.5.5     Productividad cabezales San Lorenzo</v>
      </c>
      <c r="D74" s="16">
        <f>+Mensual!E77</f>
        <v>0</v>
      </c>
      <c r="E74" s="16">
        <f>+Mensual!F77</f>
        <v>3500</v>
      </c>
      <c r="F74" s="16">
        <v>3025</v>
      </c>
      <c r="G74" s="19">
        <f t="shared" si="20"/>
        <v>0.86428571428571432</v>
      </c>
      <c r="H74" s="20">
        <f t="shared" si="21"/>
        <v>0</v>
      </c>
      <c r="I74" s="20"/>
      <c r="J74" s="16"/>
      <c r="K74" s="16"/>
      <c r="L74" s="16"/>
    </row>
    <row r="75" spans="1:12" outlineLevel="1" x14ac:dyDescent="0.2">
      <c r="A75" s="16"/>
      <c r="B75" s="16"/>
      <c r="C75" s="16" t="str">
        <f>+Mensual!D78</f>
        <v>5.5.6     Productividad cabezales Sinai</v>
      </c>
      <c r="D75" s="16">
        <f>+Mensual!E78</f>
        <v>0</v>
      </c>
      <c r="E75" s="16">
        <f>+Mensual!F78</f>
        <v>3500</v>
      </c>
      <c r="F75" s="16">
        <v>3026</v>
      </c>
      <c r="G75" s="19"/>
      <c r="H75" s="20"/>
      <c r="I75" s="20"/>
      <c r="J75" s="16"/>
      <c r="K75" s="16"/>
      <c r="L75" s="16"/>
    </row>
    <row r="76" spans="1:12" outlineLevel="1" x14ac:dyDescent="0.2">
      <c r="A76" s="16">
        <f>+Mensual!B79</f>
        <v>0</v>
      </c>
      <c r="B76" s="16">
        <f>+Mensual!C79</f>
        <v>0</v>
      </c>
      <c r="C76" s="16" t="str">
        <f>+Mensual!D79</f>
        <v>5.6 Aprovechamiento GPS</v>
      </c>
      <c r="D76" s="16">
        <f>+Mensual!E79</f>
        <v>0</v>
      </c>
      <c r="E76" s="16">
        <f>+Mensual!F79</f>
        <v>0.9</v>
      </c>
      <c r="F76" s="16">
        <v>3021</v>
      </c>
      <c r="G76" s="19">
        <f t="shared" ref="G76:G79" si="22">IF(F76&gt;E76,1,IF(F76&lt;0,0,F76/E76))</f>
        <v>1</v>
      </c>
      <c r="H76" s="20">
        <f t="shared" ref="H76:H79" si="23">+G76*B76</f>
        <v>0</v>
      </c>
      <c r="I76" s="20"/>
      <c r="J76" s="16"/>
      <c r="K76" s="16"/>
      <c r="L76" s="16"/>
    </row>
    <row r="77" spans="1:12" outlineLevel="1" x14ac:dyDescent="0.2">
      <c r="A77" s="16">
        <f>+Mensual!B80</f>
        <v>0</v>
      </c>
      <c r="B77" s="16">
        <f>+Mensual!C80</f>
        <v>0</v>
      </c>
      <c r="C77" s="16" t="str">
        <f>+Mensual!D80</f>
        <v>5.7 Dias de facturacion</v>
      </c>
      <c r="D77" s="16">
        <f>+Mensual!E80</f>
        <v>0</v>
      </c>
      <c r="E77" s="16">
        <f>+Mensual!F80</f>
        <v>4</v>
      </c>
      <c r="F77" s="16">
        <v>3022</v>
      </c>
      <c r="G77" s="19">
        <f t="shared" si="22"/>
        <v>1</v>
      </c>
      <c r="H77" s="20">
        <f t="shared" si="23"/>
        <v>0</v>
      </c>
      <c r="I77" s="20"/>
      <c r="J77" s="16"/>
      <c r="K77" s="16"/>
      <c r="L77" s="16"/>
    </row>
    <row r="78" spans="1:12" outlineLevel="1" x14ac:dyDescent="0.2">
      <c r="A78" s="16">
        <f>+Mensual!B81</f>
        <v>0</v>
      </c>
      <c r="B78" s="16">
        <f>+Mensual!C81</f>
        <v>0</v>
      </c>
      <c r="C78" s="16" t="str">
        <f>+Mensual!D81</f>
        <v>5.8  Aumentar kms EXA</v>
      </c>
      <c r="D78" s="16" t="str">
        <f>+Mensual!E81</f>
        <v xml:space="preserve">kms </v>
      </c>
      <c r="E78" s="16">
        <f>+Mensual!F81</f>
        <v>506974.68</v>
      </c>
      <c r="F78" s="16">
        <v>3023</v>
      </c>
      <c r="G78" s="19">
        <f t="shared" si="22"/>
        <v>5.9628224431247734E-3</v>
      </c>
      <c r="H78" s="20">
        <f t="shared" si="23"/>
        <v>0</v>
      </c>
      <c r="I78" s="20"/>
      <c r="J78" s="16"/>
      <c r="K78" s="16"/>
      <c r="L78" s="16"/>
    </row>
    <row r="79" spans="1:12" outlineLevel="1" x14ac:dyDescent="0.2">
      <c r="A79" s="16">
        <f>+Mensual!B82</f>
        <v>0</v>
      </c>
      <c r="B79" s="16">
        <f>+Mensual!C82</f>
        <v>0</v>
      </c>
      <c r="C79" s="16" t="str">
        <f>+Mensual!D82</f>
        <v>5.8.1 Aumentar kms clientes Jacky Mena (Rango110-90)</v>
      </c>
      <c r="D79" s="16">
        <f>+Mensual!E82</f>
        <v>0</v>
      </c>
      <c r="E79" s="16">
        <f>+Mensual!F82</f>
        <v>100000</v>
      </c>
      <c r="F79" s="16">
        <v>3024</v>
      </c>
      <c r="G79" s="19">
        <f t="shared" si="22"/>
        <v>3.024E-2</v>
      </c>
      <c r="H79" s="20">
        <f t="shared" si="23"/>
        <v>0</v>
      </c>
      <c r="I79" s="20"/>
      <c r="J79" s="16"/>
      <c r="K79" s="16"/>
      <c r="L79" s="16"/>
    </row>
    <row r="80" spans="1:12" outlineLevel="1" x14ac:dyDescent="0.2">
      <c r="A80" s="16">
        <f>+Mensual!B83</f>
        <v>0</v>
      </c>
      <c r="B80" s="16">
        <f>+Mensual!C83</f>
        <v>0</v>
      </c>
      <c r="C80" s="16" t="str">
        <f>+Mensual!D83</f>
        <v>5.8.2 Aumentar kms clientes Honoria Rodriguez  (Rango 110-90)</v>
      </c>
      <c r="D80" s="16" t="str">
        <f>+Mensual!E83</f>
        <v>kms/mes</v>
      </c>
      <c r="E80" s="16">
        <f>+Mensual!F83</f>
        <v>100000</v>
      </c>
      <c r="F80" s="16">
        <v>3025</v>
      </c>
      <c r="G80" s="19">
        <f t="shared" ref="G80:G82" si="24">IF(F80&gt;E80,1,IF(F80&lt;0,0,F80/E80))</f>
        <v>3.0249999999999999E-2</v>
      </c>
      <c r="H80" s="20">
        <f t="shared" ref="H80:H82" si="25">+G80*B80</f>
        <v>0</v>
      </c>
      <c r="I80" s="20"/>
      <c r="J80" s="16"/>
      <c r="K80" s="16"/>
      <c r="L80" s="16"/>
    </row>
    <row r="81" spans="1:12" outlineLevel="1" x14ac:dyDescent="0.2">
      <c r="A81" s="16">
        <f>+Mensual!B84</f>
        <v>0</v>
      </c>
      <c r="B81" s="16">
        <f>+Mensual!C84</f>
        <v>0</v>
      </c>
      <c r="C81" s="16" t="str">
        <f>+Mensual!D84</f>
        <v>5.8.3 Aumentar kms clientes Sinia Murillo (Rango 110-90)</v>
      </c>
      <c r="D81" s="16">
        <f>+Mensual!E84</f>
        <v>0</v>
      </c>
      <c r="E81" s="16">
        <f>+Mensual!F84</f>
        <v>100000</v>
      </c>
      <c r="F81" s="16">
        <v>3026</v>
      </c>
      <c r="G81" s="19">
        <f t="shared" si="24"/>
        <v>3.0259999999999999E-2</v>
      </c>
      <c r="H81" s="20">
        <f t="shared" si="25"/>
        <v>0</v>
      </c>
      <c r="I81" s="20"/>
      <c r="J81" s="16"/>
      <c r="K81" s="16"/>
      <c r="L81" s="16"/>
    </row>
    <row r="82" spans="1:12" outlineLevel="1" x14ac:dyDescent="0.2">
      <c r="A82" s="16">
        <f>+Mensual!B85</f>
        <v>0</v>
      </c>
      <c r="B82" s="16">
        <f>+Mensual!C85</f>
        <v>0</v>
      </c>
      <c r="C82" s="16" t="str">
        <f>+Mensual!D85</f>
        <v>5.8.4 Aumentar kms clientes Josselyn Chavarria (Rango 110-90)</v>
      </c>
      <c r="D82" s="16">
        <f>+Mensual!E85</f>
        <v>0</v>
      </c>
      <c r="E82" s="16">
        <f>+Mensual!F85</f>
        <v>100000</v>
      </c>
      <c r="F82" s="16">
        <v>3027</v>
      </c>
      <c r="G82" s="19">
        <f t="shared" si="24"/>
        <v>3.0269999999999998E-2</v>
      </c>
      <c r="H82" s="20">
        <f t="shared" si="25"/>
        <v>0</v>
      </c>
      <c r="I82" s="20"/>
      <c r="J82" s="16"/>
      <c r="K82" s="16"/>
      <c r="L82" s="16"/>
    </row>
    <row r="83" spans="1:12" outlineLevel="1" x14ac:dyDescent="0.2">
      <c r="A83" s="16">
        <f>+Mensual!B86</f>
        <v>0</v>
      </c>
      <c r="B83" s="16">
        <f>+Mensual!C86</f>
        <v>0</v>
      </c>
      <c r="C83" s="16" t="str">
        <f>+Mensual!D86</f>
        <v>5.8.5  Aumentar kms clientes Edgardo Hernandez (Rango 150-115)</v>
      </c>
      <c r="D83" s="16">
        <f>+Mensual!E86</f>
        <v>0</v>
      </c>
      <c r="E83" s="16">
        <f>+Mensual!F86</f>
        <v>100000</v>
      </c>
      <c r="F83" s="16">
        <v>3028</v>
      </c>
      <c r="G83" s="19">
        <f t="shared" ref="G83:G92" si="26">IF(F83&gt;E83,1,IF(F83&lt;0,0,F83/E83))</f>
        <v>3.0280000000000001E-2</v>
      </c>
      <c r="H83" s="20">
        <f t="shared" ref="H83:H92" si="27">+G83*B83</f>
        <v>0</v>
      </c>
      <c r="I83" s="20"/>
      <c r="J83" s="16"/>
      <c r="K83" s="16"/>
      <c r="L83" s="16"/>
    </row>
    <row r="84" spans="1:12" outlineLevel="1" x14ac:dyDescent="0.2">
      <c r="A84" s="16">
        <f>+Mensual!B87</f>
        <v>0</v>
      </c>
      <c r="B84" s="16">
        <f>+Mensual!C87</f>
        <v>0</v>
      </c>
      <c r="C84" s="16" t="str">
        <f>+Mensual!D87</f>
        <v>5.9 Aumentar Total kms cabezales propios</v>
      </c>
      <c r="D84" s="16" t="str">
        <f>+Mensual!E87</f>
        <v xml:space="preserve">kms </v>
      </c>
      <c r="E84" s="16">
        <f>+Mensual!F87</f>
        <v>0.2</v>
      </c>
      <c r="F84" s="16">
        <v>3029</v>
      </c>
      <c r="G84" s="19">
        <f t="shared" si="26"/>
        <v>1</v>
      </c>
      <c r="H84" s="20">
        <f t="shared" si="27"/>
        <v>0</v>
      </c>
      <c r="I84" s="20"/>
      <c r="J84" s="16"/>
      <c r="K84" s="16"/>
      <c r="L84" s="16"/>
    </row>
    <row r="85" spans="1:12" outlineLevel="1" x14ac:dyDescent="0.2">
      <c r="A85" s="16">
        <f>+Mensual!B88</f>
        <v>0</v>
      </c>
      <c r="B85" s="16">
        <f>+Mensual!C88</f>
        <v>0</v>
      </c>
      <c r="C85" s="16" t="str">
        <f>+Mensual!D88</f>
        <v>5.10  Aumentar kms TRANEXPA</v>
      </c>
      <c r="D85" s="16" t="str">
        <f>+Mensual!E88</f>
        <v xml:space="preserve">kms </v>
      </c>
      <c r="E85" s="16">
        <f>+Mensual!F88</f>
        <v>0.2</v>
      </c>
      <c r="F85" s="16">
        <v>3030</v>
      </c>
      <c r="G85" s="19">
        <f t="shared" si="26"/>
        <v>1</v>
      </c>
      <c r="H85" s="20">
        <f t="shared" si="27"/>
        <v>0</v>
      </c>
      <c r="I85" s="20"/>
      <c r="J85" s="16"/>
      <c r="K85" s="16"/>
      <c r="L85" s="16"/>
    </row>
    <row r="86" spans="1:12" outlineLevel="1" x14ac:dyDescent="0.2">
      <c r="A86" s="16">
        <f>+Mensual!B89</f>
        <v>0</v>
      </c>
      <c r="B86" s="16">
        <f>+Mensual!C89</f>
        <v>0</v>
      </c>
      <c r="C86" s="16" t="str">
        <f>+Mensual!D89</f>
        <v>5.11 # de fallas operativas adjudicables al predio (Incluye rescates, rechazos) Puerto Cortes</v>
      </c>
      <c r="D86" s="16" t="str">
        <f>+Mensual!E89</f>
        <v># de fallas</v>
      </c>
      <c r="E86" s="16">
        <f>+Mensual!F89</f>
        <v>1</v>
      </c>
      <c r="F86" s="16">
        <v>3031</v>
      </c>
      <c r="G86" s="19">
        <f t="shared" si="26"/>
        <v>1</v>
      </c>
      <c r="H86" s="20">
        <f t="shared" si="27"/>
        <v>0</v>
      </c>
      <c r="I86" s="20"/>
      <c r="J86" s="16"/>
      <c r="K86" s="16"/>
      <c r="L86" s="16"/>
    </row>
    <row r="87" spans="1:12" outlineLevel="1" x14ac:dyDescent="0.2">
      <c r="A87" s="16">
        <f>+Mensual!B90</f>
        <v>0</v>
      </c>
      <c r="B87" s="16">
        <f>+Mensual!C90</f>
        <v>0</v>
      </c>
      <c r="C87" s="16" t="str">
        <f>+Mensual!D90</f>
        <v>5.12  Aumentar # de viajes de EXA</v>
      </c>
      <c r="D87" s="16" t="str">
        <f>+Mensual!E90</f>
        <v># de viajes</v>
      </c>
      <c r="E87" s="16">
        <f>+Mensual!F90</f>
        <v>0.2</v>
      </c>
      <c r="F87" s="16">
        <v>3032</v>
      </c>
      <c r="G87" s="19">
        <f t="shared" si="26"/>
        <v>1</v>
      </c>
      <c r="H87" s="20">
        <f t="shared" si="27"/>
        <v>0</v>
      </c>
      <c r="I87" s="20"/>
      <c r="J87" s="16"/>
      <c r="K87" s="16"/>
      <c r="L87" s="16"/>
    </row>
    <row r="88" spans="1:12" outlineLevel="1" x14ac:dyDescent="0.2">
      <c r="A88" s="16">
        <f>+Mensual!B91</f>
        <v>0</v>
      </c>
      <c r="B88" s="16">
        <f>+Mensual!C91</f>
        <v>0</v>
      </c>
      <c r="C88" s="16" t="str">
        <f>+Mensual!D91</f>
        <v>5.9.1 Aumentar numero de viajes Jacky</v>
      </c>
      <c r="D88" s="16" t="str">
        <f>+Mensual!E91</f>
        <v># de viajes</v>
      </c>
      <c r="E88" s="16">
        <f>+Mensual!F91</f>
        <v>0</v>
      </c>
      <c r="F88" s="16">
        <v>3033</v>
      </c>
      <c r="G88" s="19">
        <f t="shared" si="26"/>
        <v>1</v>
      </c>
      <c r="H88" s="20">
        <f t="shared" si="27"/>
        <v>0</v>
      </c>
      <c r="I88" s="20"/>
      <c r="J88" s="16"/>
      <c r="K88" s="16"/>
      <c r="L88" s="16"/>
    </row>
    <row r="89" spans="1:12" outlineLevel="1" x14ac:dyDescent="0.2">
      <c r="A89" s="16">
        <f>+Mensual!B92</f>
        <v>0</v>
      </c>
      <c r="B89" s="16">
        <f>+Mensual!C92</f>
        <v>0</v>
      </c>
      <c r="C89" s="16" t="str">
        <f>+Mensual!D92</f>
        <v>5.9.2 Aumentar numero de viajes Honoria</v>
      </c>
      <c r="D89" s="16" t="str">
        <f>+Mensual!E92</f>
        <v># de viajes</v>
      </c>
      <c r="E89" s="16">
        <f>+Mensual!F92</f>
        <v>0</v>
      </c>
      <c r="F89" s="16">
        <v>3034</v>
      </c>
      <c r="G89" s="19">
        <f t="shared" si="26"/>
        <v>1</v>
      </c>
      <c r="H89" s="20">
        <f t="shared" si="27"/>
        <v>0</v>
      </c>
      <c r="I89" s="20"/>
      <c r="J89" s="16"/>
      <c r="K89" s="16"/>
      <c r="L89" s="16"/>
    </row>
    <row r="90" spans="1:12" outlineLevel="1" x14ac:dyDescent="0.2">
      <c r="A90" s="16">
        <f>+Mensual!B93</f>
        <v>0</v>
      </c>
      <c r="B90" s="16">
        <f>+Mensual!C93</f>
        <v>0</v>
      </c>
      <c r="C90" s="16" t="str">
        <f>+Mensual!D93</f>
        <v>5.9.3  Aumentar numero de viajes Sinia</v>
      </c>
      <c r="D90" s="16" t="str">
        <f>+Mensual!E93</f>
        <v># de viajes</v>
      </c>
      <c r="E90" s="16">
        <f>+Mensual!F93</f>
        <v>0</v>
      </c>
      <c r="F90" s="16">
        <v>3035</v>
      </c>
      <c r="G90" s="19">
        <f t="shared" si="26"/>
        <v>1</v>
      </c>
      <c r="H90" s="20">
        <f t="shared" si="27"/>
        <v>0</v>
      </c>
      <c r="I90" s="20"/>
      <c r="J90" s="16"/>
      <c r="K90" s="16"/>
      <c r="L90" s="16"/>
    </row>
    <row r="91" spans="1:12" outlineLevel="1" x14ac:dyDescent="0.2">
      <c r="A91" s="16">
        <f>+Mensual!B94</f>
        <v>0</v>
      </c>
      <c r="B91" s="16">
        <f>+Mensual!C94</f>
        <v>0</v>
      </c>
      <c r="C91" s="16" t="str">
        <f>+Mensual!D94</f>
        <v>5.9.4  Aumentar numero de viajes Josselyn</v>
      </c>
      <c r="D91" s="16" t="str">
        <f>+Mensual!E94</f>
        <v># de viajes</v>
      </c>
      <c r="E91" s="16">
        <f>+Mensual!F94</f>
        <v>0</v>
      </c>
      <c r="F91" s="16">
        <v>3036</v>
      </c>
      <c r="G91" s="19">
        <f t="shared" si="26"/>
        <v>1</v>
      </c>
      <c r="H91" s="20">
        <f t="shared" si="27"/>
        <v>0</v>
      </c>
      <c r="I91" s="20"/>
      <c r="J91" s="16"/>
      <c r="K91" s="16"/>
      <c r="L91" s="16"/>
    </row>
    <row r="92" spans="1:12" outlineLevel="1" x14ac:dyDescent="0.2">
      <c r="A92" s="16">
        <f>+Mensual!B95</f>
        <v>0</v>
      </c>
      <c r="B92" s="16">
        <f>+Mensual!C95</f>
        <v>0</v>
      </c>
      <c r="C92" s="16" t="str">
        <f>+Mensual!D95</f>
        <v>5.9.5 Aumentar numero de viajes Edgardo</v>
      </c>
      <c r="D92" s="16" t="str">
        <f>+Mensual!E95</f>
        <v># de viajes</v>
      </c>
      <c r="E92" s="16">
        <f>+Mensual!F95</f>
        <v>0</v>
      </c>
      <c r="F92" s="16">
        <v>3037</v>
      </c>
      <c r="G92" s="19">
        <f t="shared" si="26"/>
        <v>1</v>
      </c>
      <c r="H92" s="20">
        <f t="shared" si="27"/>
        <v>0</v>
      </c>
      <c r="I92" s="20"/>
      <c r="J92" s="16"/>
      <c r="K92" s="16"/>
      <c r="L92" s="16"/>
    </row>
    <row r="93" spans="1:12" outlineLevel="1" x14ac:dyDescent="0.2">
      <c r="A93" s="16">
        <f>+Mensual!B96</f>
        <v>0</v>
      </c>
      <c r="B93" s="16">
        <f>+Mensual!C96</f>
        <v>0</v>
      </c>
      <c r="C93" s="16" t="str">
        <f>+Mensual!D96</f>
        <v xml:space="preserve">   5.13 Aumenar promedio de kms/viaje</v>
      </c>
      <c r="D93" s="16" t="str">
        <f>+Mensual!E96</f>
        <v>kms/viaje</v>
      </c>
      <c r="E93" s="16">
        <f>+Mensual!F96</f>
        <v>0.1</v>
      </c>
      <c r="F93" s="16">
        <v>3038</v>
      </c>
      <c r="G93" s="19">
        <f t="shared" ref="G93" si="28">IF(F93&gt;E93,1,IF(F93&lt;0,0,F93/E93))</f>
        <v>1</v>
      </c>
      <c r="H93" s="20">
        <f t="shared" ref="H93" si="29">+G93*B93</f>
        <v>0</v>
      </c>
      <c r="I93" s="20"/>
      <c r="J93" s="16"/>
      <c r="K93" s="16"/>
      <c r="L93" s="16"/>
    </row>
    <row r="94" spans="1:12" outlineLevel="1" x14ac:dyDescent="0.2">
      <c r="A94" s="16">
        <f>+Mensual!B97</f>
        <v>0</v>
      </c>
      <c r="B94" s="16">
        <f>+Mensual!C97</f>
        <v>0</v>
      </c>
      <c r="C94" s="16" t="str">
        <f>+Mensual!D97</f>
        <v>5.14  90% de cabezales dentro de un +-10% del promedio de kms cabezal/mes</v>
      </c>
      <c r="D94" s="16" t="str">
        <f>+Mensual!E97</f>
        <v>Porcentaje</v>
      </c>
      <c r="E94" s="16">
        <f>+Mensual!F97</f>
        <v>0.9</v>
      </c>
      <c r="F94" s="16">
        <v>3039</v>
      </c>
      <c r="G94" s="19">
        <f t="shared" ref="G94:G97" si="30">IF(F94&gt;E94,1,IF(F94&lt;0,0,F94/E94))</f>
        <v>1</v>
      </c>
      <c r="H94" s="20">
        <f t="shared" ref="H94:H97" si="31">+G94*B94</f>
        <v>0</v>
      </c>
      <c r="I94" s="20"/>
      <c r="J94" s="16"/>
      <c r="K94" s="16"/>
      <c r="L94" s="16"/>
    </row>
    <row r="95" spans="1:12" outlineLevel="1" x14ac:dyDescent="0.2">
      <c r="A95" s="16">
        <f>+Mensual!B98</f>
        <v>0</v>
      </c>
      <c r="B95" s="16">
        <f>+Mensual!C98</f>
        <v>0</v>
      </c>
      <c r="C95" s="16" t="str">
        <f>+Mensual!D98</f>
        <v>5.15  # de fallas operativas adjudicables al predio (Incluye rescates, rechazos) San Lorenzo</v>
      </c>
      <c r="D95" s="16">
        <f>+Mensual!E98</f>
        <v>0</v>
      </c>
      <c r="E95" s="16">
        <f>+Mensual!F98</f>
        <v>0</v>
      </c>
      <c r="F95" s="16">
        <v>3040</v>
      </c>
      <c r="G95" s="19">
        <f t="shared" si="30"/>
        <v>1</v>
      </c>
      <c r="H95" s="20">
        <f t="shared" si="31"/>
        <v>0</v>
      </c>
      <c r="I95" s="20"/>
      <c r="J95" s="16"/>
      <c r="K95" s="16"/>
      <c r="L95" s="16"/>
    </row>
    <row r="96" spans="1:12" outlineLevel="1" x14ac:dyDescent="0.2">
      <c r="A96" s="16">
        <f>+Mensual!B99</f>
        <v>0</v>
      </c>
      <c r="B96" s="16">
        <f>+Mensual!C99</f>
        <v>0</v>
      </c>
      <c r="C96" s="16" t="str">
        <f>+Mensual!D99</f>
        <v>5.16 # de notas de credito mensuales</v>
      </c>
      <c r="D96" s="16" t="str">
        <f>+Mensual!E99</f>
        <v># notas de credito</v>
      </c>
      <c r="E96" s="16">
        <f>+Mensual!F99</f>
        <v>0</v>
      </c>
      <c r="F96" s="16">
        <v>3041</v>
      </c>
      <c r="G96" s="19">
        <f t="shared" si="30"/>
        <v>1</v>
      </c>
      <c r="H96" s="20">
        <f t="shared" si="31"/>
        <v>0</v>
      </c>
      <c r="I96" s="20"/>
      <c r="J96" s="16"/>
      <c r="K96" s="16"/>
      <c r="L96" s="16"/>
    </row>
    <row r="97" spans="1:12" outlineLevel="1" x14ac:dyDescent="0.2">
      <c r="A97" s="16">
        <f>+Mensual!B100</f>
        <v>0</v>
      </c>
      <c r="B97" s="16">
        <f>+Mensual!C100</f>
        <v>0</v>
      </c>
      <c r="C97" s="16">
        <f>+Mensual!D100</f>
        <v>0</v>
      </c>
      <c r="D97" s="16">
        <f>+Mensual!E100</f>
        <v>0</v>
      </c>
      <c r="E97" s="16">
        <f>+Mensual!F100</f>
        <v>0</v>
      </c>
      <c r="F97" s="16">
        <v>3042</v>
      </c>
      <c r="G97" s="19">
        <f t="shared" si="30"/>
        <v>1</v>
      </c>
      <c r="H97" s="20">
        <f t="shared" si="31"/>
        <v>0</v>
      </c>
      <c r="I97" s="20"/>
      <c r="J97" s="16"/>
      <c r="K97" s="16"/>
      <c r="L97" s="16"/>
    </row>
    <row r="98" spans="1:12" x14ac:dyDescent="0.2">
      <c r="A98" s="16">
        <f>+Mensual!B101</f>
        <v>6</v>
      </c>
      <c r="B98" s="16">
        <f>+Mensual!C101</f>
        <v>0.05</v>
      </c>
      <c r="C98" s="16" t="str">
        <f>+Mensual!D101</f>
        <v>6. Aumentar el ROA</v>
      </c>
      <c r="D98" s="16">
        <f>+Mensual!E101</f>
        <v>0</v>
      </c>
      <c r="E98" s="16">
        <f>+Mensual!F101</f>
        <v>0.05</v>
      </c>
      <c r="F98" s="16">
        <v>5</v>
      </c>
      <c r="G98" s="19">
        <f t="shared" si="0"/>
        <v>1</v>
      </c>
      <c r="H98" s="20">
        <f t="shared" si="1"/>
        <v>0.05</v>
      </c>
      <c r="I98" s="20"/>
      <c r="J98" s="16"/>
      <c r="K98" s="16"/>
      <c r="L98" s="16"/>
    </row>
    <row r="99" spans="1:12" hidden="1" outlineLevel="1" x14ac:dyDescent="0.2">
      <c r="A99" s="16">
        <f>+Mensual!B102</f>
        <v>0</v>
      </c>
      <c r="B99" s="16">
        <f>+Mensual!C102</f>
        <v>0</v>
      </c>
      <c r="C99" s="16" t="str">
        <f>+Mensual!D102</f>
        <v>6.1     Aumentar Rotación de inventario.</v>
      </c>
      <c r="D99" s="16">
        <f>+Mensual!E102</f>
        <v>0</v>
      </c>
      <c r="E99" s="16">
        <f>+Mensual!F102</f>
        <v>0.05</v>
      </c>
      <c r="F99" s="16"/>
      <c r="G99" s="19">
        <f t="shared" si="0"/>
        <v>0</v>
      </c>
      <c r="H99" s="20">
        <f t="shared" si="1"/>
        <v>0</v>
      </c>
      <c r="I99" s="20"/>
      <c r="J99" s="16"/>
      <c r="K99" s="16"/>
      <c r="L99" s="16"/>
    </row>
    <row r="100" spans="1:12" hidden="1" outlineLevel="1" x14ac:dyDescent="0.2">
      <c r="A100" s="16">
        <f>+Mensual!B103</f>
        <v>0</v>
      </c>
      <c r="B100" s="16">
        <f>+Mensual!C103</f>
        <v>0</v>
      </c>
      <c r="C100" s="16" t="str">
        <f>+Mensual!D103</f>
        <v>6.2     Disminuir a 5% el desuso de los chasis (equipos con mas de 30 dias en las yardas)</v>
      </c>
      <c r="D100" s="16" t="str">
        <f>+Mensual!E103</f>
        <v>%</v>
      </c>
      <c r="E100" s="16">
        <f>+Mensual!F103</f>
        <v>0.05</v>
      </c>
      <c r="F100" s="16"/>
      <c r="G100" s="19">
        <f t="shared" si="0"/>
        <v>0</v>
      </c>
      <c r="H100" s="20">
        <f t="shared" si="1"/>
        <v>0</v>
      </c>
      <c r="I100" s="20"/>
      <c r="J100" s="16"/>
      <c r="K100" s="16"/>
      <c r="L100" s="16"/>
    </row>
    <row r="101" spans="1:12" hidden="1" outlineLevel="1" x14ac:dyDescent="0.2">
      <c r="A101" s="16">
        <f>+Mensual!B104</f>
        <v>0</v>
      </c>
      <c r="B101" s="16">
        <f>+Mensual!C104</f>
        <v>0</v>
      </c>
      <c r="C101" s="16" t="str">
        <f>+Mensual!D104</f>
        <v>6.2.1     Disminuir a 5% el desuso de los equipos Puerto Cortés (equipos con mas de 30 dias en yarda)</v>
      </c>
      <c r="D101" s="16" t="str">
        <f>+Mensual!E104</f>
        <v>Equipos</v>
      </c>
      <c r="E101" s="16">
        <f>+Mensual!F104</f>
        <v>30</v>
      </c>
      <c r="F101" s="16"/>
      <c r="G101" s="19">
        <f t="shared" ref="G101:G105" si="32">IF(F101&gt;E101,1,IF(F101&lt;0,0,F101/E101))</f>
        <v>0</v>
      </c>
      <c r="H101" s="20">
        <f t="shared" ref="H101:H105" si="33">+G101*B101</f>
        <v>0</v>
      </c>
      <c r="I101" s="20"/>
      <c r="J101" s="16"/>
      <c r="K101" s="16"/>
      <c r="L101" s="16"/>
    </row>
    <row r="102" spans="1:12" hidden="1" outlineLevel="1" x14ac:dyDescent="0.2">
      <c r="A102" s="16">
        <f>+Mensual!B105</f>
        <v>0</v>
      </c>
      <c r="B102" s="16">
        <f>+Mensual!C105</f>
        <v>0</v>
      </c>
      <c r="C102" s="16" t="str">
        <f>+Mensual!D105</f>
        <v>6.2.2     Disminuir a 1% el desuso de los equipos San Lorenzo (equipos con mas de 30 dias en yarda)</v>
      </c>
      <c r="D102" s="16" t="str">
        <f>+Mensual!E105</f>
        <v>Equipos</v>
      </c>
      <c r="E102" s="16">
        <f>+Mensual!F105</f>
        <v>6</v>
      </c>
      <c r="F102" s="16"/>
      <c r="G102" s="19">
        <f t="shared" si="32"/>
        <v>0</v>
      </c>
      <c r="H102" s="20">
        <f t="shared" si="33"/>
        <v>0</v>
      </c>
      <c r="I102" s="20"/>
      <c r="J102" s="16"/>
      <c r="K102" s="16"/>
      <c r="L102" s="16"/>
    </row>
    <row r="103" spans="1:12" hidden="1" outlineLevel="1" x14ac:dyDescent="0.2">
      <c r="A103" s="16">
        <f>+Mensual!B106</f>
        <v>0</v>
      </c>
      <c r="B103" s="16">
        <f>+Mensual!C106</f>
        <v>0</v>
      </c>
      <c r="C103" s="16" t="str">
        <f>+Mensual!D106</f>
        <v>6. 3 Disminuir a 0-1 los cabezales TRANEXPA</v>
      </c>
      <c r="D103" s="16">
        <f>+Mensual!E106</f>
        <v>0</v>
      </c>
      <c r="E103" s="16">
        <f>+Mensual!F106</f>
        <v>1</v>
      </c>
      <c r="F103" s="16"/>
      <c r="G103" s="19">
        <f t="shared" si="32"/>
        <v>0</v>
      </c>
      <c r="H103" s="20">
        <f t="shared" si="33"/>
        <v>0</v>
      </c>
      <c r="I103" s="20"/>
      <c r="J103" s="16"/>
      <c r="K103" s="16"/>
      <c r="L103" s="16"/>
    </row>
    <row r="104" spans="1:12" hidden="1" outlineLevel="1" x14ac:dyDescent="0.2">
      <c r="A104" s="16">
        <f>+Mensual!B107</f>
        <v>0</v>
      </c>
      <c r="B104" s="16">
        <f>+Mensual!C107</f>
        <v>0</v>
      </c>
      <c r="C104" s="16" t="str">
        <f>+Mensual!D107</f>
        <v>6.4 No exceder a 5 equipos en desuso generadores</v>
      </c>
      <c r="D104" s="16" t="str">
        <f>+Mensual!E107</f>
        <v>generadores</v>
      </c>
      <c r="E104" s="16">
        <f>+Mensual!F107</f>
        <v>1</v>
      </c>
      <c r="F104" s="16"/>
      <c r="G104" s="19">
        <f t="shared" si="32"/>
        <v>0</v>
      </c>
      <c r="H104" s="20">
        <f t="shared" si="33"/>
        <v>0</v>
      </c>
      <c r="I104" s="20"/>
      <c r="J104" s="16"/>
      <c r="K104" s="16"/>
      <c r="L104" s="16"/>
    </row>
    <row r="105" spans="1:12" hidden="1" outlineLevel="1" x14ac:dyDescent="0.2">
      <c r="A105" s="16">
        <f>+Mensual!B108</f>
        <v>0</v>
      </c>
      <c r="B105" s="16">
        <f>+Mensual!C108</f>
        <v>0</v>
      </c>
      <c r="C105" s="16" t="str">
        <f>+Mensual!D108</f>
        <v>6.5 Disminuir a 0-1 el desuso de cabezales propios</v>
      </c>
      <c r="D105" s="16" t="str">
        <f>+Mensual!E108</f>
        <v>cabezal</v>
      </c>
      <c r="E105" s="16">
        <f>+Mensual!F108</f>
        <v>1</v>
      </c>
      <c r="F105" s="16"/>
      <c r="G105" s="19">
        <f t="shared" si="32"/>
        <v>0</v>
      </c>
      <c r="H105" s="20">
        <f t="shared" si="33"/>
        <v>0</v>
      </c>
      <c r="I105" s="20"/>
      <c r="J105" s="16"/>
      <c r="K105" s="16"/>
      <c r="L105" s="16"/>
    </row>
    <row r="106" spans="1:12" collapsed="1" x14ac:dyDescent="0.2">
      <c r="A106" s="16">
        <f>+Mensual!B109</f>
        <v>7</v>
      </c>
      <c r="B106" s="16">
        <f>+Mensual!C109</f>
        <v>0.05</v>
      </c>
      <c r="C106" s="16" t="str">
        <f>+Mensual!D109</f>
        <v>7. Disminuir el D/E</v>
      </c>
      <c r="D106" s="16">
        <f>+Mensual!E109</f>
        <v>0</v>
      </c>
      <c r="E106" s="16">
        <f>+Mensual!F109</f>
        <v>0.05</v>
      </c>
      <c r="F106" s="16">
        <v>5</v>
      </c>
      <c r="G106" s="19">
        <f t="shared" si="0"/>
        <v>1</v>
      </c>
      <c r="H106" s="20">
        <f t="shared" si="1"/>
        <v>0.05</v>
      </c>
      <c r="I106" s="20"/>
      <c r="J106" s="16"/>
      <c r="K106" s="16"/>
      <c r="L106" s="16"/>
    </row>
    <row r="107" spans="1:12" hidden="1" outlineLevel="1" x14ac:dyDescent="0.2">
      <c r="A107" s="16">
        <f>+Mensual!B110</f>
        <v>0</v>
      </c>
      <c r="B107" s="16">
        <f>+Mensual!C110</f>
        <v>0</v>
      </c>
      <c r="C107" s="16" t="str">
        <f>+Mensual!D110</f>
        <v>7.1     Rotación de cuentas por cobrar.</v>
      </c>
      <c r="D107" s="16">
        <f>+Mensual!E110</f>
        <v>0</v>
      </c>
      <c r="E107" s="16">
        <f>+Mensual!F110</f>
        <v>0.1</v>
      </c>
      <c r="F107" s="16"/>
      <c r="G107" s="19">
        <f t="shared" si="0"/>
        <v>0</v>
      </c>
      <c r="H107" s="20">
        <f t="shared" si="1"/>
        <v>0</v>
      </c>
      <c r="I107" s="20"/>
      <c r="J107" s="16"/>
      <c r="K107" s="16"/>
      <c r="L107" s="16"/>
    </row>
    <row r="108" spans="1:12" hidden="1" outlineLevel="1" x14ac:dyDescent="0.2">
      <c r="A108" s="16">
        <f>+Mensual!B111</f>
        <v>0</v>
      </c>
      <c r="B108" s="16">
        <f>+Mensual!C111</f>
        <v>0</v>
      </c>
      <c r="C108" s="16" t="str">
        <f>+Mensual!D111</f>
        <v>7.2     95% de clientes activos dentro del periodo de recuperacion</v>
      </c>
      <c r="D108" s="16">
        <f>+Mensual!E111</f>
        <v>0</v>
      </c>
      <c r="E108" s="16">
        <f>+Mensual!F111</f>
        <v>0.2</v>
      </c>
      <c r="F108" s="16"/>
      <c r="G108" s="19">
        <f t="shared" si="0"/>
        <v>0</v>
      </c>
      <c r="H108" s="20">
        <f t="shared" si="1"/>
        <v>0</v>
      </c>
      <c r="I108" s="20"/>
      <c r="J108" s="16"/>
      <c r="K108" s="16"/>
      <c r="L108" s="16"/>
    </row>
    <row r="109" spans="1:12" hidden="1" outlineLevel="1" x14ac:dyDescent="0.2">
      <c r="A109" s="16">
        <f>+Mensual!B112</f>
        <v>0</v>
      </c>
      <c r="B109" s="16">
        <f>+Mensual!C112</f>
        <v>0</v>
      </c>
      <c r="C109" s="16">
        <f>+Mensual!D112</f>
        <v>7.3</v>
      </c>
      <c r="D109" s="16">
        <f>+Mensual!E112</f>
        <v>0</v>
      </c>
      <c r="E109" s="16">
        <f>+Mensual!F112</f>
        <v>0</v>
      </c>
      <c r="F109" s="16"/>
      <c r="G109" s="19" t="e">
        <f t="shared" ref="G109:G113" si="34">IF(F109&gt;E109,1,IF(F109&lt;0,0,F109/E109))</f>
        <v>#DIV/0!</v>
      </c>
      <c r="H109" s="20" t="e">
        <f t="shared" ref="H109:H113" si="35">+G109*B109</f>
        <v>#DIV/0!</v>
      </c>
      <c r="I109" s="20"/>
      <c r="J109" s="16"/>
      <c r="K109" s="16"/>
      <c r="L109" s="16"/>
    </row>
    <row r="110" spans="1:12" hidden="1" outlineLevel="1" x14ac:dyDescent="0.2">
      <c r="A110" s="16">
        <f>+Mensual!B113</f>
        <v>0</v>
      </c>
      <c r="B110" s="16">
        <f>+Mensual!C113</f>
        <v>0</v>
      </c>
      <c r="C110" s="16">
        <f>+Mensual!D113</f>
        <v>0</v>
      </c>
      <c r="D110" s="16">
        <f>+Mensual!E113</f>
        <v>0</v>
      </c>
      <c r="E110" s="16">
        <f>+Mensual!F113</f>
        <v>0</v>
      </c>
      <c r="F110" s="16"/>
      <c r="G110" s="19" t="e">
        <f t="shared" si="34"/>
        <v>#DIV/0!</v>
      </c>
      <c r="H110" s="20" t="e">
        <f t="shared" si="35"/>
        <v>#DIV/0!</v>
      </c>
      <c r="I110" s="20"/>
      <c r="J110" s="16"/>
      <c r="K110" s="16"/>
      <c r="L110" s="16"/>
    </row>
    <row r="111" spans="1:12" hidden="1" outlineLevel="1" x14ac:dyDescent="0.2">
      <c r="A111" s="16">
        <f>+Mensual!B114</f>
        <v>0</v>
      </c>
      <c r="B111" s="16">
        <f>+Mensual!C114</f>
        <v>0</v>
      </c>
      <c r="C111" s="16">
        <f>+Mensual!D114</f>
        <v>0</v>
      </c>
      <c r="D111" s="16">
        <f>+Mensual!E114</f>
        <v>0</v>
      </c>
      <c r="E111" s="16">
        <f>+Mensual!F114</f>
        <v>0</v>
      </c>
      <c r="F111" s="16"/>
      <c r="G111" s="19" t="e">
        <f t="shared" si="34"/>
        <v>#DIV/0!</v>
      </c>
      <c r="H111" s="20" t="e">
        <f t="shared" si="35"/>
        <v>#DIV/0!</v>
      </c>
      <c r="I111" s="20"/>
      <c r="J111" s="16"/>
      <c r="K111" s="16"/>
      <c r="L111" s="16"/>
    </row>
    <row r="112" spans="1:12" hidden="1" outlineLevel="1" x14ac:dyDescent="0.2">
      <c r="A112" s="16">
        <f>+Mensual!B115</f>
        <v>0</v>
      </c>
      <c r="B112" s="16">
        <f>+Mensual!C115</f>
        <v>0</v>
      </c>
      <c r="C112" s="16">
        <f>+Mensual!D115</f>
        <v>0</v>
      </c>
      <c r="D112" s="16">
        <f>+Mensual!E115</f>
        <v>0</v>
      </c>
      <c r="E112" s="16">
        <f>+Mensual!F115</f>
        <v>0</v>
      </c>
      <c r="F112" s="16"/>
      <c r="G112" s="19" t="e">
        <f t="shared" si="34"/>
        <v>#DIV/0!</v>
      </c>
      <c r="H112" s="20" t="e">
        <f t="shared" si="35"/>
        <v>#DIV/0!</v>
      </c>
      <c r="I112" s="20"/>
      <c r="J112" s="16"/>
      <c r="K112" s="16"/>
      <c r="L112" s="16"/>
    </row>
    <row r="113" spans="1:12" hidden="1" outlineLevel="1" x14ac:dyDescent="0.2">
      <c r="A113" s="16">
        <f>+Mensual!B116</f>
        <v>0</v>
      </c>
      <c r="B113" s="16">
        <f>+Mensual!C116</f>
        <v>0</v>
      </c>
      <c r="C113" s="16">
        <f>+Mensual!D116</f>
        <v>0</v>
      </c>
      <c r="D113" s="16">
        <f>+Mensual!E116</f>
        <v>0</v>
      </c>
      <c r="E113" s="16">
        <f>+Mensual!F116</f>
        <v>0</v>
      </c>
      <c r="F113" s="16"/>
      <c r="G113" s="19" t="e">
        <f t="shared" si="34"/>
        <v>#DIV/0!</v>
      </c>
      <c r="H113" s="20" t="e">
        <f t="shared" si="35"/>
        <v>#DIV/0!</v>
      </c>
      <c r="I113" s="20"/>
      <c r="J113" s="16"/>
      <c r="K113" s="16"/>
      <c r="L113" s="16"/>
    </row>
    <row r="114" spans="1:12" collapsed="1" x14ac:dyDescent="0.2">
      <c r="A114" s="16">
        <f>+Mensual!B118</f>
        <v>8</v>
      </c>
      <c r="B114" s="16">
        <f>+Mensual!C118</f>
        <v>0.05</v>
      </c>
      <c r="C114" s="16" t="str">
        <f>+Mensual!D118</f>
        <v>8. Innovaciones estratégicas de sistemas de Impacto recurrente</v>
      </c>
      <c r="D114" s="16">
        <f>+Mensual!E118</f>
        <v>0</v>
      </c>
      <c r="E114" s="16">
        <f>+Mensual!F118</f>
        <v>1</v>
      </c>
      <c r="F114" s="30">
        <v>0</v>
      </c>
      <c r="G114" s="19">
        <f t="shared" si="0"/>
        <v>0</v>
      </c>
      <c r="H114" s="20">
        <f t="shared" si="1"/>
        <v>0</v>
      </c>
      <c r="I114" s="20"/>
      <c r="J114" s="16"/>
      <c r="K114" s="16"/>
      <c r="L114" s="16"/>
    </row>
    <row r="115" spans="1:12" hidden="1" outlineLevel="1" x14ac:dyDescent="0.2">
      <c r="A115" s="16">
        <f>+Mensual!B119</f>
        <v>0</v>
      </c>
      <c r="B115" s="16">
        <f>+Mensual!C119</f>
        <v>0</v>
      </c>
      <c r="C115" s="16" t="str">
        <f>+Mensual!D119</f>
        <v>8.1     Integracion EMS - Hapag-Lloyd</v>
      </c>
      <c r="D115" s="16">
        <f>+Mensual!E119</f>
        <v>0</v>
      </c>
      <c r="E115" s="16">
        <f>+Mensual!F119</f>
        <v>0</v>
      </c>
      <c r="F115" s="16"/>
      <c r="G115" s="11" t="e">
        <f t="shared" ref="G115:G123" si="36">IF(F115&gt;B115,1,F115/B115)</f>
        <v>#DIV/0!</v>
      </c>
      <c r="H115" s="20" t="e">
        <f t="shared" si="1"/>
        <v>#DIV/0!</v>
      </c>
      <c r="I115" s="12"/>
    </row>
    <row r="116" spans="1:12" hidden="1" outlineLevel="1" x14ac:dyDescent="0.2">
      <c r="A116" s="16">
        <f>+Mensual!B120</f>
        <v>0</v>
      </c>
      <c r="B116" s="16">
        <f>+Mensual!C120</f>
        <v>0</v>
      </c>
      <c r="C116" s="16" t="str">
        <f>+Mensual!D120</f>
        <v>8.2     Integracion EMS - GPS</v>
      </c>
      <c r="D116" s="16">
        <f>+Mensual!E120</f>
        <v>0</v>
      </c>
      <c r="E116" s="16">
        <f>+Mensual!F120</f>
        <v>0</v>
      </c>
      <c r="F116" s="16"/>
      <c r="G116" s="11" t="e">
        <f t="shared" si="36"/>
        <v>#DIV/0!</v>
      </c>
      <c r="H116" s="20" t="e">
        <f t="shared" si="1"/>
        <v>#DIV/0!</v>
      </c>
    </row>
    <row r="117" spans="1:12" hidden="1" outlineLevel="1" x14ac:dyDescent="0.2">
      <c r="A117" s="16">
        <f>+Mensual!B121</f>
        <v>0</v>
      </c>
      <c r="B117" s="16">
        <f>+Mensual!C121</f>
        <v>0</v>
      </c>
      <c r="C117" s="16" t="str">
        <f>+Mensual!D121</f>
        <v>8.3     Integracion EMS - SAP</v>
      </c>
      <c r="D117" s="16">
        <f>+Mensual!E121</f>
        <v>0</v>
      </c>
      <c r="E117" s="16">
        <f>+Mensual!F121</f>
        <v>0</v>
      </c>
      <c r="F117" s="16"/>
      <c r="G117" s="11" t="e">
        <f t="shared" si="36"/>
        <v>#DIV/0!</v>
      </c>
      <c r="H117" s="20" t="e">
        <f t="shared" si="1"/>
        <v>#DIV/0!</v>
      </c>
    </row>
    <row r="118" spans="1:12" hidden="1" outlineLevel="1" x14ac:dyDescent="0.2">
      <c r="A118" s="16">
        <f>+Mensual!B122</f>
        <v>0</v>
      </c>
      <c r="B118" s="16">
        <f>+Mensual!C122</f>
        <v>0</v>
      </c>
      <c r="C118" s="16" t="str">
        <f>+Mensual!D122</f>
        <v>8.4     Integracion EMS - Gasolinera</v>
      </c>
      <c r="D118" s="16">
        <f>+Mensual!E122</f>
        <v>0</v>
      </c>
      <c r="E118" s="16">
        <f>+Mensual!F122</f>
        <v>0</v>
      </c>
      <c r="F118" s="16"/>
      <c r="G118" s="11" t="e">
        <f t="shared" si="36"/>
        <v>#DIV/0!</v>
      </c>
      <c r="H118" s="20" t="e">
        <f t="shared" si="1"/>
        <v>#DIV/0!</v>
      </c>
    </row>
    <row r="119" spans="1:12" hidden="1" outlineLevel="1" x14ac:dyDescent="0.2">
      <c r="A119" s="16">
        <f>+Mensual!B123</f>
        <v>0</v>
      </c>
      <c r="B119" s="16">
        <f>+Mensual!C123</f>
        <v>0</v>
      </c>
      <c r="C119" s="16" t="str">
        <f>+Mensual!D123</f>
        <v>8.5     Planilla de motorista</v>
      </c>
      <c r="D119" s="16">
        <f>+Mensual!E123</f>
        <v>0</v>
      </c>
      <c r="E119" s="16">
        <f>+Mensual!F123</f>
        <v>0</v>
      </c>
      <c r="F119" s="16"/>
      <c r="G119" s="11" t="e">
        <f t="shared" si="36"/>
        <v>#DIV/0!</v>
      </c>
      <c r="H119" s="20" t="e">
        <f t="shared" si="1"/>
        <v>#DIV/0!</v>
      </c>
    </row>
    <row r="120" spans="1:12" hidden="1" outlineLevel="1" x14ac:dyDescent="0.2">
      <c r="A120" s="16">
        <f>+Mensual!B124</f>
        <v>0</v>
      </c>
      <c r="B120" s="16">
        <f>+Mensual!C124</f>
        <v>0</v>
      </c>
      <c r="C120" s="16" t="str">
        <f>+Mensual!D124</f>
        <v>8.6     Reset Module</v>
      </c>
      <c r="D120" s="16">
        <f>+Mensual!E124</f>
        <v>0</v>
      </c>
      <c r="E120" s="16">
        <f>+Mensual!F124</f>
        <v>0</v>
      </c>
      <c r="F120" s="16"/>
      <c r="G120" s="11" t="e">
        <f t="shared" si="36"/>
        <v>#DIV/0!</v>
      </c>
      <c r="H120" s="20" t="e">
        <f t="shared" si="1"/>
        <v>#DIV/0!</v>
      </c>
    </row>
    <row r="121" spans="1:12" hidden="1" outlineLevel="1" x14ac:dyDescent="0.2">
      <c r="A121" s="16">
        <f>+Mensual!B125</f>
        <v>0</v>
      </c>
      <c r="B121" s="16">
        <f>+Mensual!C125</f>
        <v>0</v>
      </c>
      <c r="C121" s="16" t="str">
        <f>+Mensual!D125</f>
        <v>8.7     Add on SAP</v>
      </c>
      <c r="D121" s="16">
        <f>+Mensual!E125</f>
        <v>0</v>
      </c>
      <c r="E121" s="16">
        <f>+Mensual!F125</f>
        <v>0</v>
      </c>
      <c r="F121" s="16"/>
      <c r="G121" s="11" t="e">
        <f t="shared" si="36"/>
        <v>#DIV/0!</v>
      </c>
      <c r="H121" s="20" t="e">
        <f t="shared" si="1"/>
        <v>#DIV/0!</v>
      </c>
    </row>
    <row r="122" spans="1:12" hidden="1" outlineLevel="1" x14ac:dyDescent="0.2">
      <c r="A122" s="16">
        <f>+Mensual!B126</f>
        <v>0</v>
      </c>
      <c r="B122" s="16">
        <f>+Mensual!C126</f>
        <v>0</v>
      </c>
      <c r="C122" s="16" t="str">
        <f>+Mensual!D126</f>
        <v>8.8     Multilanguage</v>
      </c>
      <c r="D122" s="16">
        <f>+Mensual!E126</f>
        <v>0</v>
      </c>
      <c r="E122" s="16">
        <f>+Mensual!F126</f>
        <v>0</v>
      </c>
      <c r="F122" s="16"/>
      <c r="G122" s="11" t="e">
        <f t="shared" si="36"/>
        <v>#DIV/0!</v>
      </c>
      <c r="H122" s="20" t="e">
        <f t="shared" si="1"/>
        <v>#DIV/0!</v>
      </c>
    </row>
    <row r="123" spans="1:12" hidden="1" outlineLevel="1" x14ac:dyDescent="0.2">
      <c r="A123" s="16">
        <f>+Mensual!B127</f>
        <v>0</v>
      </c>
      <c r="B123" s="16">
        <f>+Mensual!C127</f>
        <v>0</v>
      </c>
      <c r="C123" s="16" t="str">
        <f>+Mensual!D127</f>
        <v>8.9     Multicompany</v>
      </c>
      <c r="D123" s="16">
        <f>+Mensual!E127</f>
        <v>0</v>
      </c>
      <c r="E123" s="16">
        <f>+Mensual!F127</f>
        <v>0</v>
      </c>
      <c r="F123" s="16"/>
      <c r="G123" s="11" t="e">
        <f t="shared" si="36"/>
        <v>#DIV/0!</v>
      </c>
      <c r="H123" s="20" t="e">
        <f t="shared" si="1"/>
        <v>#DIV/0!</v>
      </c>
    </row>
    <row r="124" spans="1:12" hidden="1" outlineLevel="1" x14ac:dyDescent="0.2">
      <c r="A124" s="16">
        <f>+Mensual!B128</f>
        <v>0</v>
      </c>
      <c r="B124" s="16">
        <f>+Mensual!C128</f>
        <v>0</v>
      </c>
      <c r="C124" s="16" t="str">
        <f>+Mensual!D128</f>
        <v>8.10     Depot - EMS</v>
      </c>
      <c r="D124" s="16">
        <f>+Mensual!E128</f>
        <v>0</v>
      </c>
      <c r="E124" s="16">
        <f>+Mensual!F128</f>
        <v>0</v>
      </c>
      <c r="F124" s="16"/>
      <c r="H124" s="20">
        <f t="shared" si="1"/>
        <v>0</v>
      </c>
    </row>
    <row r="125" spans="1:12" hidden="1" outlineLevel="1" x14ac:dyDescent="0.2">
      <c r="A125" s="16">
        <f>+Mensual!B129</f>
        <v>0</v>
      </c>
      <c r="B125" s="16">
        <f>+Mensual!C129</f>
        <v>0</v>
      </c>
      <c r="C125" s="16" t="str">
        <f>+Mensual!D129</f>
        <v>8.11     Multireport</v>
      </c>
      <c r="D125" s="16">
        <f>+Mensual!E129</f>
        <v>0</v>
      </c>
      <c r="E125" s="16">
        <f>+Mensual!F129</f>
        <v>0</v>
      </c>
      <c r="F125" s="16"/>
      <c r="H125" s="20">
        <f t="shared" si="1"/>
        <v>0</v>
      </c>
    </row>
    <row r="126" spans="1:12" hidden="1" outlineLevel="1" x14ac:dyDescent="0.2">
      <c r="A126" s="16">
        <f>+Mensual!B130</f>
        <v>0</v>
      </c>
      <c r="B126" s="16">
        <f>+Mensual!C130</f>
        <v>0</v>
      </c>
      <c r="C126" s="16">
        <f>+Mensual!D130</f>
        <v>0</v>
      </c>
      <c r="D126" s="16">
        <f>+Mensual!E130</f>
        <v>0</v>
      </c>
      <c r="E126" s="16">
        <f>+Mensual!F130</f>
        <v>0</v>
      </c>
      <c r="F126" s="16"/>
      <c r="H126" s="20">
        <f t="shared" ref="H126:H130" si="37">+G126*B126</f>
        <v>0</v>
      </c>
    </row>
    <row r="127" spans="1:12" hidden="1" outlineLevel="1" x14ac:dyDescent="0.2">
      <c r="A127" s="16">
        <f>+Mensual!B131</f>
        <v>0</v>
      </c>
      <c r="B127" s="16">
        <f>+Mensual!C131</f>
        <v>0</v>
      </c>
      <c r="C127" s="16">
        <f>+Mensual!D131</f>
        <v>0</v>
      </c>
      <c r="D127" s="16">
        <f>+Mensual!E131</f>
        <v>0</v>
      </c>
      <c r="E127" s="16">
        <f>+Mensual!F131</f>
        <v>0</v>
      </c>
      <c r="F127" s="16"/>
      <c r="H127" s="20">
        <f t="shared" si="37"/>
        <v>0</v>
      </c>
    </row>
    <row r="128" spans="1:12" hidden="1" outlineLevel="1" x14ac:dyDescent="0.2">
      <c r="A128" s="16">
        <f>+Mensual!B132</f>
        <v>0</v>
      </c>
      <c r="B128" s="16">
        <f>+Mensual!C132</f>
        <v>0</v>
      </c>
      <c r="C128" s="16">
        <f>+Mensual!D132</f>
        <v>0</v>
      </c>
      <c r="D128" s="16">
        <f>+Mensual!E132</f>
        <v>0</v>
      </c>
      <c r="E128" s="16">
        <f>+Mensual!F132</f>
        <v>0</v>
      </c>
      <c r="F128" s="16"/>
      <c r="H128" s="20">
        <f t="shared" si="37"/>
        <v>0</v>
      </c>
    </row>
    <row r="129" spans="1:8" hidden="1" outlineLevel="1" x14ac:dyDescent="0.2">
      <c r="A129" s="16">
        <f>+Mensual!B133</f>
        <v>0</v>
      </c>
      <c r="B129" s="16">
        <f>+Mensual!C133</f>
        <v>0</v>
      </c>
      <c r="C129" s="16">
        <f>+Mensual!D133</f>
        <v>0</v>
      </c>
      <c r="D129" s="16">
        <f>+Mensual!E133</f>
        <v>0</v>
      </c>
      <c r="E129" s="16">
        <f>+Mensual!F133</f>
        <v>0</v>
      </c>
      <c r="F129" s="16"/>
      <c r="H129" s="20">
        <f t="shared" si="37"/>
        <v>0</v>
      </c>
    </row>
    <row r="130" spans="1:8" hidden="1" outlineLevel="1" x14ac:dyDescent="0.2">
      <c r="A130" s="16">
        <f>+Mensual!B134</f>
        <v>0</v>
      </c>
      <c r="B130" s="16">
        <f>+Mensual!C134</f>
        <v>0</v>
      </c>
      <c r="C130" s="16">
        <f>+Mensual!D134</f>
        <v>0</v>
      </c>
      <c r="D130" s="16">
        <f>+Mensual!E134</f>
        <v>0</v>
      </c>
      <c r="E130" s="16">
        <f>+Mensual!F134</f>
        <v>0</v>
      </c>
      <c r="H130" s="20">
        <f t="shared" si="37"/>
        <v>0</v>
      </c>
    </row>
    <row r="131" spans="1:8" collapsed="1" x14ac:dyDescent="0.2">
      <c r="A131" s="16">
        <f>+Mensual!B135</f>
        <v>0</v>
      </c>
      <c r="B131" s="16">
        <f>+Mensual!C135</f>
        <v>0</v>
      </c>
      <c r="C131" s="16" t="str">
        <f>+Mensual!D135</f>
        <v>9. SCORE CARD Grupo EXA</v>
      </c>
      <c r="D131" s="16" t="str">
        <f>+Mensual!E135</f>
        <v>RESULTADO SCORECARD</v>
      </c>
      <c r="E131" s="16">
        <f>+Mensual!F135</f>
        <v>1</v>
      </c>
      <c r="F131" s="37">
        <f>+G131</f>
        <v>0.61843243243243262</v>
      </c>
      <c r="G131" s="37">
        <f>+H131</f>
        <v>0.61843243243243262</v>
      </c>
      <c r="H131" s="24">
        <f>+H3+H24+H47+H59+H64+H98+H106+H114</f>
        <v>0.61843243243243262</v>
      </c>
    </row>
    <row r="132" spans="1:8" x14ac:dyDescent="0.2">
      <c r="A132" s="16">
        <f>+Mensual!B136</f>
        <v>0</v>
      </c>
      <c r="B132" s="16">
        <f>+Mensual!C136</f>
        <v>0</v>
      </c>
      <c r="C132" s="16">
        <f>+Mensual!D136</f>
        <v>0</v>
      </c>
      <c r="D132" s="16">
        <f>+Mensual!E136</f>
        <v>0</v>
      </c>
      <c r="E132" s="16">
        <f>+Mensual!F136</f>
        <v>0</v>
      </c>
      <c r="F132" s="37" t="e">
        <f t="shared" ref="F132:G132" si="38">+G132</f>
        <v>#DIV/0!</v>
      </c>
      <c r="G132" s="37" t="e">
        <f t="shared" si="38"/>
        <v>#DIV/0!</v>
      </c>
      <c r="H132" s="24" t="e">
        <f>+H4+H25+H48+H64+H65+H99+H107+H115</f>
        <v>#DIV/0!</v>
      </c>
    </row>
    <row r="133" spans="1:8" x14ac:dyDescent="0.2">
      <c r="A133" s="16">
        <f>+Mensual!B137</f>
        <v>0</v>
      </c>
      <c r="B133" s="16">
        <f>+Mensual!C137</f>
        <v>0</v>
      </c>
      <c r="C133" s="16">
        <f>+Mensual!D137</f>
        <v>0</v>
      </c>
      <c r="D133" s="16">
        <f>+Mensual!E137</f>
        <v>0</v>
      </c>
      <c r="E133" s="16">
        <f>+Mensual!F137</f>
        <v>0</v>
      </c>
      <c r="F133" s="37" t="e">
        <f t="shared" ref="F133:G133" si="39">+G133</f>
        <v>#DIV/0!</v>
      </c>
      <c r="G133" s="37" t="e">
        <f t="shared" si="39"/>
        <v>#DIV/0!</v>
      </c>
      <c r="H133" s="24" t="e">
        <f>+H5+H26+H49+H65+H66+H100+H108+H116</f>
        <v>#DIV/0!</v>
      </c>
    </row>
    <row r="134" spans="1:8" x14ac:dyDescent="0.2">
      <c r="A134" s="16">
        <f>+Mensual!B138</f>
        <v>0</v>
      </c>
      <c r="B134" s="16">
        <f>+Mensual!C138</f>
        <v>0</v>
      </c>
      <c r="C134" s="16">
        <f>+Mensual!D138</f>
        <v>0</v>
      </c>
      <c r="D134" s="16">
        <f>+Mensual!E138</f>
        <v>0</v>
      </c>
      <c r="E134" s="16">
        <f>+Mensual!F138</f>
        <v>0</v>
      </c>
      <c r="F134" s="37" t="e">
        <f t="shared" ref="F134:G134" si="40">+G134</f>
        <v>#DIV/0!</v>
      </c>
      <c r="G134" s="37" t="e">
        <f t="shared" si="40"/>
        <v>#DIV/0!</v>
      </c>
      <c r="H134" s="24" t="e">
        <f>+H6+H27+H50+H66+H67+H101+H109+H117</f>
        <v>#DIV/0!</v>
      </c>
    </row>
    <row r="135" spans="1:8" x14ac:dyDescent="0.2">
      <c r="A135" s="16">
        <f>+Mensual!B139</f>
        <v>0</v>
      </c>
      <c r="B135" s="16">
        <f>+Mensual!C139</f>
        <v>0</v>
      </c>
      <c r="C135" s="16">
        <f>+Mensual!D139</f>
        <v>0</v>
      </c>
      <c r="D135" s="16">
        <f>+Mensual!E139</f>
        <v>0</v>
      </c>
      <c r="E135" s="16">
        <f>+Mensual!F139</f>
        <v>0</v>
      </c>
      <c r="F135" s="37" t="e">
        <f t="shared" ref="F135:G135" si="41">+G135</f>
        <v>#DIV/0!</v>
      </c>
      <c r="G135" s="37" t="e">
        <f t="shared" si="41"/>
        <v>#DIV/0!</v>
      </c>
      <c r="H135" s="24" t="e">
        <f>+H7+H28+H51+H67+H68+H102+H110+H118</f>
        <v>#DIV/0!</v>
      </c>
    </row>
    <row r="136" spans="1:8" x14ac:dyDescent="0.2">
      <c r="A136" s="16">
        <f>+Mensual!B140</f>
        <v>0</v>
      </c>
      <c r="B136" s="16">
        <f>+Mensual!C140</f>
        <v>0</v>
      </c>
      <c r="C136" s="16">
        <f>+Mensual!D140</f>
        <v>0</v>
      </c>
      <c r="D136" s="16">
        <f>+Mensual!E140</f>
        <v>0</v>
      </c>
      <c r="E136" s="16">
        <f>+Mensual!F140</f>
        <v>0</v>
      </c>
      <c r="F136" s="37" t="e">
        <f t="shared" ref="F136:G136" si="42">+G136</f>
        <v>#DIV/0!</v>
      </c>
      <c r="G136" s="37" t="e">
        <f t="shared" si="42"/>
        <v>#DIV/0!</v>
      </c>
      <c r="H136" s="24" t="e">
        <f>+H8+H29+H52+H68+H69+H103+H111+H119</f>
        <v>#DIV/0!</v>
      </c>
    </row>
    <row r="137" spans="1:8" x14ac:dyDescent="0.2">
      <c r="A137" s="16">
        <f>+Mensual!B141</f>
        <v>0</v>
      </c>
      <c r="B137" s="16">
        <f>+Mensual!C141</f>
        <v>0</v>
      </c>
      <c r="C137" s="16" t="str">
        <f>+Mensual!D141</f>
        <v>10. CONMOXA</v>
      </c>
      <c r="D137" s="16" t="str">
        <f>+Mensual!E141</f>
        <v>RESULTADO SCORECARD</v>
      </c>
      <c r="E137" s="16">
        <f>+Mensual!F141</f>
        <v>1</v>
      </c>
      <c r="F137" s="37" t="e">
        <f>+G137</f>
        <v>#N/A</v>
      </c>
      <c r="G137" s="37" t="e">
        <f>+H137</f>
        <v>#N/A</v>
      </c>
      <c r="H137" s="37" t="e">
        <f>+'EJ,. CXMA acumulado'!H10</f>
        <v>#N/A</v>
      </c>
    </row>
    <row r="138" spans="1:8" x14ac:dyDescent="0.2">
      <c r="A138" s="16">
        <f>+Mensual!B142</f>
        <v>0</v>
      </c>
      <c r="B138" s="16">
        <f>+Mensual!C142</f>
        <v>0</v>
      </c>
      <c r="C138" s="16">
        <f>+Mensual!D142</f>
        <v>0</v>
      </c>
      <c r="D138" s="16">
        <f>+Mensual!E142</f>
        <v>0</v>
      </c>
      <c r="E138" s="16">
        <f>+Mensual!F142</f>
        <v>0</v>
      </c>
      <c r="F138" s="37">
        <f t="shared" ref="F138:G138" si="43">+G138</f>
        <v>0</v>
      </c>
      <c r="G138" s="37">
        <f t="shared" si="43"/>
        <v>0</v>
      </c>
      <c r="H138" s="37">
        <f>+'EJ,. CXMA acumulado'!H11</f>
        <v>0</v>
      </c>
    </row>
    <row r="139" spans="1:8" x14ac:dyDescent="0.2">
      <c r="A139" s="16">
        <f>+Mensual!B143</f>
        <v>0</v>
      </c>
      <c r="B139" s="16">
        <f>+Mensual!C143</f>
        <v>0</v>
      </c>
      <c r="C139" s="16">
        <f>+Mensual!D143</f>
        <v>0</v>
      </c>
      <c r="D139" s="16">
        <f>+Mensual!E143</f>
        <v>0</v>
      </c>
      <c r="E139" s="16">
        <f>+Mensual!F143</f>
        <v>0</v>
      </c>
      <c r="F139" s="37">
        <f t="shared" ref="F139:G139" si="44">+G139</f>
        <v>0</v>
      </c>
      <c r="G139" s="37">
        <f t="shared" si="44"/>
        <v>0</v>
      </c>
      <c r="H139" s="37">
        <f>+'EJ,. CXMA acumulado'!H12</f>
        <v>0</v>
      </c>
    </row>
    <row r="140" spans="1:8" x14ac:dyDescent="0.2">
      <c r="A140" s="16">
        <f>+Mensual!B144</f>
        <v>0</v>
      </c>
      <c r="B140" s="16">
        <f>+Mensual!C144</f>
        <v>0</v>
      </c>
      <c r="C140" s="16">
        <f>+Mensual!D144</f>
        <v>0</v>
      </c>
      <c r="D140" s="16">
        <f>+Mensual!E144</f>
        <v>0</v>
      </c>
      <c r="E140" s="16">
        <f>+Mensual!F144</f>
        <v>0</v>
      </c>
      <c r="F140" s="37">
        <f t="shared" ref="F140:G140" si="45">+G140</f>
        <v>0</v>
      </c>
      <c r="G140" s="37">
        <f t="shared" si="45"/>
        <v>0</v>
      </c>
      <c r="H140" s="37">
        <f>+'EJ,. CXMA acumulado'!H13</f>
        <v>0</v>
      </c>
    </row>
    <row r="141" spans="1:8" x14ac:dyDescent="0.2">
      <c r="A141" s="16">
        <f>+Mensual!B145</f>
        <v>0</v>
      </c>
      <c r="B141" s="16">
        <f>+Mensual!C145</f>
        <v>0</v>
      </c>
      <c r="C141" s="16">
        <f>+Mensual!D145</f>
        <v>0</v>
      </c>
      <c r="D141" s="16">
        <f>+Mensual!E145</f>
        <v>0</v>
      </c>
      <c r="E141" s="16">
        <f>+Mensual!F145</f>
        <v>0</v>
      </c>
      <c r="F141" s="37">
        <f t="shared" ref="F141:G141" si="46">+G141</f>
        <v>0</v>
      </c>
      <c r="G141" s="37">
        <f t="shared" si="46"/>
        <v>0</v>
      </c>
      <c r="H141" s="37">
        <f>+'EJ,. CXMA acumulado'!H14</f>
        <v>0</v>
      </c>
    </row>
    <row r="142" spans="1:8" x14ac:dyDescent="0.2">
      <c r="A142" s="16">
        <f>+Mensual!B144</f>
        <v>0</v>
      </c>
      <c r="B142" s="16">
        <f>+Mensual!C144</f>
        <v>0</v>
      </c>
      <c r="C142" s="16">
        <f>+Mensual!D144</f>
        <v>0</v>
      </c>
      <c r="D142" s="16">
        <f>+Mensual!E144</f>
        <v>0</v>
      </c>
      <c r="E142" s="8">
        <f>+E68*B68</f>
        <v>380</v>
      </c>
      <c r="F142" s="9"/>
    </row>
    <row r="143" spans="1:8" x14ac:dyDescent="0.2">
      <c r="C143" s="13"/>
      <c r="D143" s="13"/>
      <c r="E143" s="8">
        <f>+E69*B69</f>
        <v>2450</v>
      </c>
    </row>
    <row r="144" spans="1:8" x14ac:dyDescent="0.2">
      <c r="C144" s="13"/>
      <c r="D144" s="13"/>
      <c r="E144" s="8">
        <f>SUM(E138:E143)</f>
        <v>2830</v>
      </c>
    </row>
    <row r="145" spans="3:11" x14ac:dyDescent="0.2">
      <c r="C145" s="13"/>
      <c r="D145" s="13"/>
      <c r="K145" s="16">
        <f>+Mensual!L148</f>
        <v>0</v>
      </c>
    </row>
    <row r="146" spans="3:11" x14ac:dyDescent="0.2">
      <c r="C146" s="13"/>
      <c r="D146" s="13"/>
    </row>
    <row r="147" spans="3:11" x14ac:dyDescent="0.2">
      <c r="C147" s="13"/>
      <c r="D147" s="13"/>
    </row>
    <row r="148" spans="3:11" x14ac:dyDescent="0.2">
      <c r="C148" s="13"/>
      <c r="D148" s="13"/>
    </row>
    <row r="149" spans="3:11" x14ac:dyDescent="0.2">
      <c r="C149" s="13"/>
      <c r="D149" s="13"/>
    </row>
  </sheetData>
  <dataConsolidate/>
  <pageMargins left="0.7" right="0.7" top="0.75" bottom="0.75" header="0.3" footer="0.3"/>
  <pageSetup orientation="portrait" horizontalDpi="360" verticalDpi="36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3:U12"/>
  <sheetViews>
    <sheetView showGridLines="0" zoomScale="105" zoomScaleNormal="55" workbookViewId="0">
      <selection activeCell="C34" sqref="C34"/>
    </sheetView>
  </sheetViews>
  <sheetFormatPr baseColWidth="10" defaultColWidth="11.42578125" defaultRowHeight="15" x14ac:dyDescent="0.25"/>
  <cols>
    <col min="3" max="3" width="65.85546875" bestFit="1" customWidth="1"/>
    <col min="4" max="4" width="19.5703125" customWidth="1"/>
    <col min="5" max="5" width="14" bestFit="1" customWidth="1"/>
    <col min="6" max="6" width="13.85546875" bestFit="1" customWidth="1"/>
    <col min="7" max="7" width="11.42578125" customWidth="1"/>
    <col min="8" max="8" width="19.140625" customWidth="1"/>
  </cols>
  <sheetData>
    <row r="3" spans="1:21" x14ac:dyDescent="0.25">
      <c r="C3" s="7" t="s">
        <v>2</v>
      </c>
      <c r="D3" s="244" t="s">
        <v>3</v>
      </c>
      <c r="E3" s="244"/>
      <c r="F3" s="244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x14ac:dyDescent="0.25">
      <c r="A6">
        <f>+Mensual!B6</f>
        <v>4</v>
      </c>
      <c r="B6" s="3">
        <v>0.3</v>
      </c>
      <c r="C6" s="15" t="s">
        <v>317</v>
      </c>
      <c r="D6" s="33" t="e">
        <f>IF(VLOOKUP($C6,Acumulado!$C$3:$G$161,2,0)&lt;0,0,VLOOKUP($C6,Acumulado!$C$3:$G$161,2,0))</f>
        <v>#N/A</v>
      </c>
      <c r="E6" s="33" t="e">
        <f>IF(VLOOKUP($C6,Acumulado!$C$3:$G$161,3,0)&lt;0,0,VLOOKUP($C6,Acumulado!$C$3:$G$161,3,0))</f>
        <v>#N/A</v>
      </c>
      <c r="F6" s="33" t="e">
        <f>IF(VLOOKUP($C6,Acumulado!$C$3:$G$161,3,0)&lt;0,0,VLOOKUP($C6,Acumulado!$C$3:$G$161,4,0))</f>
        <v>#N/A</v>
      </c>
      <c r="G6" s="33" t="e">
        <f>IF(VLOOKUP($C6,Acumulado!$C$3:$G$161,5,0)&lt;0,0,VLOOKUP($C6,Acumulado!$C$3:$G$161,5,0))</f>
        <v>#N/A</v>
      </c>
      <c r="H6" s="4" t="e">
        <f>+G6*B6</f>
        <v>#N/A</v>
      </c>
      <c r="I6" s="31">
        <f>+Mensual!J6</f>
        <v>0</v>
      </c>
      <c r="J6" s="31">
        <f>+Mensual!K6</f>
        <v>0</v>
      </c>
      <c r="K6" s="31">
        <f>+Mensual!L6</f>
        <v>0</v>
      </c>
      <c r="L6" s="31">
        <f>+Mensual!M6</f>
        <v>0</v>
      </c>
      <c r="M6" s="3"/>
      <c r="N6" s="3"/>
      <c r="O6" s="3"/>
      <c r="P6" s="3"/>
      <c r="Q6" s="3"/>
      <c r="R6" s="3"/>
      <c r="S6" s="3"/>
    </row>
    <row r="7" spans="1:21" x14ac:dyDescent="0.25">
      <c r="B7" s="3">
        <v>0.1</v>
      </c>
      <c r="C7" s="15" t="s">
        <v>9</v>
      </c>
      <c r="D7" s="33" t="str">
        <f>IF(VLOOKUP($C7,Acumulado!$C$3:$G$161,2,0)&lt;0,0,VLOOKUP($C7,Acumulado!$C$3:$G$161,2,0))</f>
        <v>Dólares</v>
      </c>
      <c r="E7" s="33">
        <f>IF(VLOOKUP($C7,Acumulado!$C$3:$G$161,3,0)&lt;0,0,VLOOKUP($C7,Acumulado!$C$3:$G$161,3,0))</f>
        <v>16000</v>
      </c>
      <c r="F7" s="33">
        <f>IF(VLOOKUP($C7,Acumulado!$C$3:$G$161,3,0)&lt;0,0,VLOOKUP($C7,Acumulado!$C$3:$G$161,4,0))</f>
        <v>200000</v>
      </c>
      <c r="G7" s="33">
        <f>IF(VLOOKUP($C7,Acumulado!$C$3:$G$161,5,0)&lt;0,0,VLOOKUP($C7,Acumulado!$C$3:$G$161,5,0))</f>
        <v>1</v>
      </c>
      <c r="H7" s="4">
        <f t="shared" ref="H7:H9" si="0">+G7*B7</f>
        <v>0.1</v>
      </c>
      <c r="I7" s="31"/>
      <c r="J7" s="31"/>
      <c r="K7" s="31"/>
      <c r="L7" s="31"/>
      <c r="M7" s="3"/>
      <c r="N7" s="3"/>
      <c r="O7" s="3"/>
      <c r="P7" s="3"/>
      <c r="Q7" s="3"/>
      <c r="R7" s="3"/>
      <c r="S7" s="3"/>
    </row>
    <row r="8" spans="1:21" x14ac:dyDescent="0.25">
      <c r="A8">
        <f>+Mensual!B7</f>
        <v>410101</v>
      </c>
      <c r="B8" s="3">
        <v>0.3</v>
      </c>
      <c r="C8" s="15" t="s">
        <v>9</v>
      </c>
      <c r="D8" s="33" t="str">
        <f>IF(VLOOKUP($C8,Acumulado!$C$3:$G$161,2,0)&lt;0,0,VLOOKUP($C8,Acumulado!$C$3:$G$161,2,0))</f>
        <v>Dólares</v>
      </c>
      <c r="E8" s="33">
        <f>IF(VLOOKUP($C8,Acumulado!$C$3:$G$161,3,0)&lt;0,0,VLOOKUP($C8,Acumulado!$C$3:$G$161,3,0))</f>
        <v>16000</v>
      </c>
      <c r="F8" s="33">
        <f>IF(VLOOKUP($C8,Acumulado!$C$3:$G$161,3,0)&lt;0,0,VLOOKUP($C8,Acumulado!$C$3:$G$161,4,0))</f>
        <v>200000</v>
      </c>
      <c r="G8" s="33">
        <f>IF(VLOOKUP($C8,Acumulado!$C$3:$G$161,5,0)&lt;0,0,VLOOKUP($C8,Acumulado!$C$3:$G$161,5,0))</f>
        <v>1</v>
      </c>
      <c r="H8" s="4">
        <f t="shared" si="0"/>
        <v>0.3</v>
      </c>
      <c r="I8" s="31">
        <f>+Mensual!J7</f>
        <v>0</v>
      </c>
      <c r="J8" s="31">
        <f>+Mensual!K7</f>
        <v>0</v>
      </c>
      <c r="K8" s="31">
        <f>+Mensual!L7</f>
        <v>0</v>
      </c>
      <c r="L8" s="31">
        <f>+Mensual!M7</f>
        <v>0</v>
      </c>
      <c r="M8" s="3"/>
      <c r="N8" s="3"/>
      <c r="O8" s="3"/>
      <c r="P8" s="3"/>
      <c r="Q8" s="3"/>
      <c r="R8" s="3"/>
      <c r="S8" s="3"/>
    </row>
    <row r="9" spans="1:21" x14ac:dyDescent="0.25">
      <c r="A9">
        <f>+Mensual!B8</f>
        <v>0</v>
      </c>
      <c r="B9" s="3">
        <v>0.3</v>
      </c>
      <c r="C9" s="15" t="s">
        <v>8</v>
      </c>
      <c r="D9" s="33" t="str">
        <f>IF(VLOOKUP($C9,Acumulado!$C$3:$G$161,2,0)&lt;0,0,VLOOKUP($C9,Acumulado!$C$3:$G$161,2,0))</f>
        <v>Porcentaje</v>
      </c>
      <c r="E9" s="33">
        <f>IF(VLOOKUP($C9,Acumulado!$C$3:$G$161,3,0)&lt;0,0,VLOOKUP($C9,Acumulado!$C$3:$G$161,3,0))</f>
        <v>0.2</v>
      </c>
      <c r="F9" s="33">
        <f>IF(VLOOKUP($C9,Acumulado!$C$3:$G$161,3,0)&lt;0,0,VLOOKUP($C9,Acumulado!$C$3:$G$161,4,0))</f>
        <v>200000</v>
      </c>
      <c r="G9" s="33">
        <f>IF(VLOOKUP($C9,Acumulado!$C$3:$G$161,5,0)&lt;0,0,VLOOKUP($C9,Acumulado!$C$3:$G$161,5,0))</f>
        <v>1</v>
      </c>
      <c r="H9" s="4">
        <f t="shared" si="0"/>
        <v>0.3</v>
      </c>
      <c r="I9" s="31">
        <f>+Mensual!J8</f>
        <v>0</v>
      </c>
      <c r="J9" s="31">
        <f>+Mensual!K8</f>
        <v>0</v>
      </c>
      <c r="K9" s="31">
        <f>+Mensual!L8</f>
        <v>0</v>
      </c>
      <c r="L9" s="31">
        <f>+Mensual!M8</f>
        <v>0</v>
      </c>
      <c r="M9" s="3"/>
      <c r="N9" s="3"/>
      <c r="O9" s="3"/>
      <c r="P9" s="3"/>
      <c r="Q9" s="3"/>
      <c r="R9" s="3"/>
      <c r="S9" s="3"/>
    </row>
    <row r="10" spans="1:21" x14ac:dyDescent="0.25">
      <c r="B10" s="1">
        <f>SUM(B6:B9)</f>
        <v>1</v>
      </c>
      <c r="C10" s="2"/>
      <c r="D10" s="1"/>
      <c r="E10" s="1"/>
      <c r="F10" s="1"/>
      <c r="G10" s="1"/>
      <c r="H10" s="35" t="e">
        <f>SUM(H6:H9)</f>
        <v>#N/A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21" x14ac:dyDescent="0.25">
      <c r="C11" s="2"/>
    </row>
    <row r="12" spans="1:21" x14ac:dyDescent="0.25">
      <c r="B12" s="14"/>
      <c r="C12" s="243"/>
      <c r="D12" s="243"/>
      <c r="E12" s="243"/>
    </row>
  </sheetData>
  <mergeCells count="2">
    <mergeCell ref="D3:F3"/>
    <mergeCell ref="C12:E12"/>
  </mergeCell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A00-000000000000}">
          <x14:formula1>
            <xm:f>Acumulado!$C$3:$C$125</xm:f>
          </x14:formula1>
          <xm:sqref>C6:C9</xm:sqref>
        </x14:dataValidation>
        <x14:dataValidation type="list" allowBlank="1" showInputMessage="1" showErrorMessage="1" xr:uid="{00000000-0002-0000-1A00-000001000000}">
          <x14:formula1>
            <xm:f>Listados!#REF!</xm:f>
          </x14:formula1>
          <xm:sqref>C12:E12</xm:sqref>
        </x14:dataValidation>
        <x14:dataValidation type="list" allowBlank="1" showInputMessage="1" showErrorMessage="1" xr:uid="{00000000-0002-0000-1A00-000002000000}">
          <x14:formula1>
            <xm:f>Listados!$A$1:$L$1</xm:f>
          </x14:formula1>
          <xm:sqref>D3:F3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3:U20"/>
  <sheetViews>
    <sheetView showGridLines="0" zoomScale="105" zoomScaleNormal="55" workbookViewId="0">
      <selection activeCell="C17" sqref="C17"/>
    </sheetView>
  </sheetViews>
  <sheetFormatPr baseColWidth="10" defaultColWidth="11.42578125" defaultRowHeight="15" x14ac:dyDescent="0.25"/>
  <cols>
    <col min="3" max="3" width="65.85546875" bestFit="1" customWidth="1"/>
    <col min="4" max="4" width="19.5703125" customWidth="1"/>
    <col min="5" max="5" width="13.85546875" bestFit="1" customWidth="1"/>
    <col min="6" max="6" width="12.85546875" bestFit="1" customWidth="1"/>
    <col min="7" max="7" width="11.42578125" customWidth="1"/>
    <col min="8" max="8" width="19.140625" customWidth="1"/>
  </cols>
  <sheetData>
    <row r="3" spans="1:21" x14ac:dyDescent="0.25">
      <c r="C3" s="7" t="s">
        <v>2</v>
      </c>
      <c r="D3" s="244" t="s">
        <v>3</v>
      </c>
      <c r="E3" s="244"/>
      <c r="F3" s="244"/>
    </row>
    <row r="4" spans="1:21" x14ac:dyDescent="0.25">
      <c r="C4" s="2"/>
    </row>
    <row r="5" spans="1:21" x14ac:dyDescent="0.25">
      <c r="A5" t="str">
        <f>+Mensual!B5</f>
        <v>No</v>
      </c>
      <c r="B5" t="str">
        <f>+Mensual!C5</f>
        <v>Peso</v>
      </c>
      <c r="C5" s="5"/>
      <c r="D5" s="31" t="str">
        <f>+Mensual!E5</f>
        <v>Unidad de medición</v>
      </c>
      <c r="E5" s="31" t="str">
        <f>+Mensual!F5</f>
        <v>Meta</v>
      </c>
      <c r="F5" s="31" t="str">
        <f>+Mensual!G5</f>
        <v>Resultado</v>
      </c>
      <c r="G5" s="31" t="str">
        <f>+Mensual!H5</f>
        <v>Nota</v>
      </c>
      <c r="H5" s="31" t="str">
        <f>+Mensual!I5</f>
        <v>Valor ponderado</v>
      </c>
      <c r="I5" s="31">
        <f>+Mensual!J5</f>
        <v>0</v>
      </c>
      <c r="J5" s="31">
        <f>+Mensual!K5</f>
        <v>0.25</v>
      </c>
      <c r="K5" s="31">
        <f>+Mensual!L5</f>
        <v>0.5</v>
      </c>
      <c r="L5" s="31">
        <f>+Mensual!M5</f>
        <v>1</v>
      </c>
      <c r="M5" s="31">
        <f>+Mensual!N5</f>
        <v>0</v>
      </c>
      <c r="N5" s="31">
        <f>+Mensual!O5</f>
        <v>0</v>
      </c>
      <c r="O5" s="31">
        <f>+Mensual!P5</f>
        <v>0</v>
      </c>
      <c r="P5" s="31">
        <f>+Mensual!Q5</f>
        <v>0</v>
      </c>
      <c r="Q5" s="31">
        <f>+Mensual!R5</f>
        <v>0</v>
      </c>
      <c r="R5" s="31"/>
      <c r="S5" s="31"/>
      <c r="T5" s="6" t="s">
        <v>5</v>
      </c>
      <c r="U5" s="5" t="s">
        <v>5</v>
      </c>
    </row>
    <row r="6" spans="1:21" x14ac:dyDescent="0.25">
      <c r="A6">
        <f>+Mensual!B6</f>
        <v>4</v>
      </c>
      <c r="B6" s="3">
        <v>0.3</v>
      </c>
      <c r="C6" s="15" t="s">
        <v>6</v>
      </c>
      <c r="D6" s="33">
        <f>IF(VLOOKUP($C6,Mensual!$D$6:$G$163,2,0)&lt;0,0,VLOOKUP($C6,Mensual!$D$6:$G$163,2,0))</f>
        <v>0</v>
      </c>
      <c r="E6" s="33">
        <f>IF(VLOOKUP($C6,Mensual!$D$6:$G$163,3,0)&lt;0,0,VLOOKUP($C6,Mensual!$D$6:$G$163,3,0))</f>
        <v>15</v>
      </c>
      <c r="F6" s="4">
        <f>IF(VLOOKUP($C6,Mensual!$D$6:$G$163,4,0)&lt;0,0,VLOOKUP($C6,Mensual!$D$6:$G$163,4,0))</f>
        <v>1</v>
      </c>
      <c r="G6" s="4">
        <f>IF(VLOOKUP($C6,Mensual!$D$6:$H$163,5,0)&lt;0,0,VLOOKUP($C6,Mensual!$D$6:$H$163,5,0))</f>
        <v>6.6666666666666666E-2</v>
      </c>
      <c r="H6" s="4">
        <f>+G6*B6</f>
        <v>0.02</v>
      </c>
      <c r="I6" s="31">
        <f>+Mensual!J6</f>
        <v>0</v>
      </c>
      <c r="J6" s="31">
        <f>+Mensual!K6</f>
        <v>0</v>
      </c>
      <c r="K6" s="31">
        <f>+Mensual!L6</f>
        <v>0</v>
      </c>
      <c r="L6" s="31">
        <f>+Mensual!M6</f>
        <v>0</v>
      </c>
      <c r="M6" s="3"/>
      <c r="N6" s="3"/>
      <c r="O6" s="3"/>
      <c r="P6" s="3"/>
      <c r="Q6" s="3"/>
      <c r="R6" s="3"/>
      <c r="S6" s="3"/>
    </row>
    <row r="7" spans="1:21" x14ac:dyDescent="0.25">
      <c r="B7" s="3"/>
      <c r="C7" s="15" t="s">
        <v>6</v>
      </c>
      <c r="D7" s="33">
        <f>IF(VLOOKUP($C7,Mensual!$D$6:$G$163,2,0)&lt;0,0,VLOOKUP($C7,Mensual!$D$6:$G$163,2,0))</f>
        <v>0</v>
      </c>
      <c r="E7" s="33">
        <f>IF(VLOOKUP($C7,Mensual!$D$6:$G$163,3,0)&lt;0,0,VLOOKUP($C7,Mensual!$D$6:$G$163,3,0))</f>
        <v>15</v>
      </c>
      <c r="F7" s="4">
        <f>IF(VLOOKUP($C7,Mensual!$D$6:$G$163,4,0)&lt;0,0,VLOOKUP($C7,Mensual!$D$6:$G$163,4,0))</f>
        <v>1</v>
      </c>
      <c r="G7" s="4">
        <f>IF(VLOOKUP($C7,Mensual!$D$6:$H$163,5,0)&lt;0,0,VLOOKUP($C7,Mensual!$D$6:$H$163,5,0))</f>
        <v>6.6666666666666666E-2</v>
      </c>
      <c r="H7" s="4">
        <f t="shared" ref="H7:H14" si="0">+G7*B7</f>
        <v>0</v>
      </c>
      <c r="I7" s="31"/>
      <c r="J7" s="31"/>
      <c r="K7" s="31"/>
      <c r="L7" s="31"/>
      <c r="M7" s="3"/>
      <c r="N7" s="3"/>
      <c r="O7" s="3"/>
      <c r="P7" s="3"/>
      <c r="Q7" s="3"/>
      <c r="R7" s="3"/>
      <c r="S7" s="3"/>
    </row>
    <row r="8" spans="1:21" x14ac:dyDescent="0.25">
      <c r="B8" s="3"/>
      <c r="C8" s="15" t="s">
        <v>6</v>
      </c>
      <c r="D8" s="33">
        <f>IF(VLOOKUP($C8,Mensual!$D$6:$G$163,2,0)&lt;0,0,VLOOKUP($C8,Mensual!$D$6:$G$163,2,0))</f>
        <v>0</v>
      </c>
      <c r="E8" s="33">
        <f>IF(VLOOKUP($C8,Mensual!$D$6:$G$163,3,0)&lt;0,0,VLOOKUP($C8,Mensual!$D$6:$G$163,3,0))</f>
        <v>15</v>
      </c>
      <c r="F8" s="4">
        <f>IF(VLOOKUP($C8,Mensual!$D$6:$G$163,4,0)&lt;0,0,VLOOKUP($C8,Mensual!$D$6:$G$163,4,0))</f>
        <v>1</v>
      </c>
      <c r="G8" s="4">
        <f>IF(VLOOKUP($C8,Mensual!$D$6:$H$163,5,0)&lt;0,0,VLOOKUP($C8,Mensual!$D$6:$H$163,5,0))</f>
        <v>6.6666666666666666E-2</v>
      </c>
      <c r="H8" s="4">
        <f t="shared" si="0"/>
        <v>0</v>
      </c>
      <c r="I8" s="31"/>
      <c r="J8" s="31"/>
      <c r="K8" s="31"/>
      <c r="L8" s="31"/>
      <c r="M8" s="3"/>
      <c r="N8" s="3"/>
      <c r="O8" s="3"/>
      <c r="P8" s="3"/>
      <c r="Q8" s="3"/>
      <c r="R8" s="3"/>
      <c r="S8" s="3"/>
    </row>
    <row r="9" spans="1:21" x14ac:dyDescent="0.25">
      <c r="B9" s="3"/>
      <c r="C9" s="15" t="s">
        <v>6</v>
      </c>
      <c r="D9" s="33">
        <f>IF(VLOOKUP($C9,Mensual!$D$6:$G$163,2,0)&lt;0,0,VLOOKUP($C9,Mensual!$D$6:$G$163,2,0))</f>
        <v>0</v>
      </c>
      <c r="E9" s="33">
        <f>IF(VLOOKUP($C9,Mensual!$D$6:$G$163,3,0)&lt;0,0,VLOOKUP($C9,Mensual!$D$6:$G$163,3,0))</f>
        <v>15</v>
      </c>
      <c r="F9" s="4">
        <f>IF(VLOOKUP($C9,Mensual!$D$6:$G$163,4,0)&lt;0,0,VLOOKUP($C9,Mensual!$D$6:$G$163,4,0))</f>
        <v>1</v>
      </c>
      <c r="G9" s="4">
        <f>IF(VLOOKUP($C9,Mensual!$D$6:$H$163,5,0)&lt;0,0,VLOOKUP($C9,Mensual!$D$6:$H$163,5,0))</f>
        <v>6.6666666666666666E-2</v>
      </c>
      <c r="H9" s="4">
        <f t="shared" si="0"/>
        <v>0</v>
      </c>
      <c r="I9" s="31"/>
      <c r="J9" s="31"/>
      <c r="K9" s="31"/>
      <c r="L9" s="31"/>
      <c r="M9" s="3"/>
      <c r="N9" s="3"/>
      <c r="O9" s="3"/>
      <c r="P9" s="3"/>
      <c r="Q9" s="3"/>
      <c r="R9" s="3"/>
      <c r="S9" s="3"/>
    </row>
    <row r="10" spans="1:21" x14ac:dyDescent="0.25">
      <c r="B10" s="3"/>
      <c r="C10" s="15" t="s">
        <v>6</v>
      </c>
      <c r="D10" s="33">
        <f>IF(VLOOKUP($C10,Mensual!$D$6:$G$163,2,0)&lt;0,0,VLOOKUP($C10,Mensual!$D$6:$G$163,2,0))</f>
        <v>0</v>
      </c>
      <c r="E10" s="33">
        <f>IF(VLOOKUP($C10,Mensual!$D$6:$G$163,3,0)&lt;0,0,VLOOKUP($C10,Mensual!$D$6:$G$163,3,0))</f>
        <v>15</v>
      </c>
      <c r="F10" s="4">
        <f>IF(VLOOKUP($C10,Mensual!$D$6:$G$163,4,0)&lt;0,0,VLOOKUP($C10,Mensual!$D$6:$G$163,4,0))</f>
        <v>1</v>
      </c>
      <c r="G10" s="4">
        <f>IF(VLOOKUP($C10,Mensual!$D$6:$H$163,5,0)&lt;0,0,VLOOKUP($C10,Mensual!$D$6:$H$163,5,0))</f>
        <v>6.6666666666666666E-2</v>
      </c>
      <c r="H10" s="4">
        <f t="shared" si="0"/>
        <v>0</v>
      </c>
      <c r="I10" s="31"/>
      <c r="J10" s="31"/>
      <c r="K10" s="31"/>
      <c r="L10" s="31"/>
      <c r="M10" s="3"/>
      <c r="N10" s="3"/>
      <c r="O10" s="3"/>
      <c r="P10" s="3"/>
      <c r="Q10" s="3"/>
      <c r="R10" s="3"/>
      <c r="S10" s="3"/>
    </row>
    <row r="11" spans="1:21" x14ac:dyDescent="0.25">
      <c r="B11" s="3"/>
      <c r="C11" s="15" t="s">
        <v>6</v>
      </c>
      <c r="D11" s="33">
        <f>IF(VLOOKUP($C11,Mensual!$D$6:$G$163,2,0)&lt;0,0,VLOOKUP($C11,Mensual!$D$6:$G$163,2,0))</f>
        <v>0</v>
      </c>
      <c r="E11" s="33">
        <f>IF(VLOOKUP($C11,Mensual!$D$6:$G$163,3,0)&lt;0,0,VLOOKUP($C11,Mensual!$D$6:$G$163,3,0))</f>
        <v>15</v>
      </c>
      <c r="F11" s="4">
        <f>IF(VLOOKUP($C11,Mensual!$D$6:$G$163,4,0)&lt;0,0,VLOOKUP($C11,Mensual!$D$6:$G$163,4,0))</f>
        <v>1</v>
      </c>
      <c r="G11" s="4">
        <f>IF(VLOOKUP($C11,Mensual!$D$6:$H$163,5,0)&lt;0,0,VLOOKUP($C11,Mensual!$D$6:$H$163,5,0))</f>
        <v>6.6666666666666666E-2</v>
      </c>
      <c r="H11" s="4">
        <f t="shared" si="0"/>
        <v>0</v>
      </c>
      <c r="I11" s="31"/>
      <c r="J11" s="31"/>
      <c r="K11" s="31"/>
      <c r="L11" s="31"/>
      <c r="M11" s="3"/>
      <c r="N11" s="3"/>
      <c r="O11" s="3"/>
      <c r="P11" s="3"/>
      <c r="Q11" s="3"/>
      <c r="R11" s="3"/>
      <c r="S11" s="3"/>
    </row>
    <row r="12" spans="1:21" x14ac:dyDescent="0.25">
      <c r="B12" s="3"/>
      <c r="C12" s="15" t="s">
        <v>6</v>
      </c>
      <c r="D12" s="33">
        <f>IF(VLOOKUP($C12,Mensual!$D$6:$G$163,2,0)&lt;0,0,VLOOKUP($C12,Mensual!$D$6:$G$163,2,0))</f>
        <v>0</v>
      </c>
      <c r="E12" s="33">
        <f>IF(VLOOKUP($C12,Mensual!$D$6:$G$163,3,0)&lt;0,0,VLOOKUP($C12,Mensual!$D$6:$G$163,3,0))</f>
        <v>15</v>
      </c>
      <c r="F12" s="4">
        <f>IF(VLOOKUP($C12,Mensual!$D$6:$G$163,4,0)&lt;0,0,VLOOKUP($C12,Mensual!$D$6:$G$163,4,0))</f>
        <v>1</v>
      </c>
      <c r="G12" s="4">
        <f>IF(VLOOKUP($C12,Mensual!$D$6:$H$163,5,0)&lt;0,0,VLOOKUP($C12,Mensual!$D$6:$H$163,5,0))</f>
        <v>6.6666666666666666E-2</v>
      </c>
      <c r="H12" s="4">
        <f t="shared" si="0"/>
        <v>0</v>
      </c>
      <c r="I12" s="31"/>
      <c r="J12" s="31"/>
      <c r="K12" s="31"/>
      <c r="L12" s="31"/>
      <c r="M12" s="3"/>
      <c r="N12" s="3"/>
      <c r="O12" s="3"/>
      <c r="P12" s="3"/>
      <c r="Q12" s="3"/>
      <c r="R12" s="3"/>
      <c r="S12" s="3"/>
    </row>
    <row r="13" spans="1:21" x14ac:dyDescent="0.25">
      <c r="B13" s="3"/>
      <c r="C13" s="15" t="s">
        <v>6</v>
      </c>
      <c r="D13" s="33">
        <f>IF(VLOOKUP($C13,Mensual!$D$6:$G$163,2,0)&lt;0,0,VLOOKUP($C13,Mensual!$D$6:$G$163,2,0))</f>
        <v>0</v>
      </c>
      <c r="E13" s="33">
        <f>IF(VLOOKUP($C13,Mensual!$D$6:$G$163,3,0)&lt;0,0,VLOOKUP($C13,Mensual!$D$6:$G$163,3,0))</f>
        <v>15</v>
      </c>
      <c r="F13" s="4">
        <f>IF(VLOOKUP($C13,Mensual!$D$6:$G$163,4,0)&lt;0,0,VLOOKUP($C13,Mensual!$D$6:$G$163,4,0))</f>
        <v>1</v>
      </c>
      <c r="G13" s="4">
        <f>IF(VLOOKUP($C13,Mensual!$D$6:$H$163,5,0)&lt;0,0,VLOOKUP($C13,Mensual!$D$6:$H$163,5,0))</f>
        <v>6.6666666666666666E-2</v>
      </c>
      <c r="H13" s="4">
        <f t="shared" si="0"/>
        <v>0</v>
      </c>
      <c r="I13" s="31"/>
      <c r="J13" s="31"/>
      <c r="K13" s="31"/>
      <c r="L13" s="31"/>
      <c r="M13" s="3"/>
      <c r="N13" s="3"/>
      <c r="O13" s="3"/>
      <c r="P13" s="3"/>
      <c r="Q13" s="3"/>
      <c r="R13" s="3"/>
      <c r="S13" s="3"/>
    </row>
    <row r="14" spans="1:21" x14ac:dyDescent="0.25">
      <c r="B14" s="3"/>
      <c r="C14" s="15" t="s">
        <v>6</v>
      </c>
      <c r="D14" s="33">
        <f>IF(VLOOKUP($C14,Mensual!$D$6:$G$163,2,0)&lt;0,0,VLOOKUP($C14,Mensual!$D$6:$G$163,2,0))</f>
        <v>0</v>
      </c>
      <c r="E14" s="33">
        <f>IF(VLOOKUP($C14,Mensual!$D$6:$G$163,3,0)&lt;0,0,VLOOKUP($C14,Mensual!$D$6:$G$163,3,0))</f>
        <v>15</v>
      </c>
      <c r="F14" s="4">
        <f>IF(VLOOKUP($C14,Mensual!$D$6:$G$163,4,0)&lt;0,0,VLOOKUP($C14,Mensual!$D$6:$G$163,4,0))</f>
        <v>1</v>
      </c>
      <c r="G14" s="4">
        <f>IF(VLOOKUP($C14,Mensual!$D$6:$H$163,5,0)&lt;0,0,VLOOKUP($C14,Mensual!$D$6:$H$163,5,0))</f>
        <v>6.6666666666666666E-2</v>
      </c>
      <c r="H14" s="4">
        <f t="shared" si="0"/>
        <v>0</v>
      </c>
      <c r="I14" s="31"/>
      <c r="J14" s="31"/>
      <c r="K14" s="31"/>
      <c r="L14" s="31"/>
      <c r="M14" s="3"/>
      <c r="N14" s="3"/>
      <c r="O14" s="3"/>
      <c r="P14" s="3"/>
      <c r="Q14" s="3"/>
      <c r="R14" s="3"/>
      <c r="S14" s="3"/>
    </row>
    <row r="15" spans="1:21" x14ac:dyDescent="0.25">
      <c r="B15" s="3">
        <v>0.1</v>
      </c>
      <c r="C15" s="15" t="s">
        <v>318</v>
      </c>
      <c r="D15" s="33" t="e">
        <f>IF(VLOOKUP($C15,Mensual!$D$6:$G$163,2,0)&lt;0,0,VLOOKUP($C15,Mensual!$D$6:$G$163,2,0))</f>
        <v>#N/A</v>
      </c>
      <c r="E15" s="34" t="e">
        <f>IF(VLOOKUP($C15,Mensual!$D$6:$G$163,3,0)&lt;0,0,VLOOKUP($C15,Mensual!$D$6:$G$163,3,0))</f>
        <v>#N/A</v>
      </c>
      <c r="F15" s="34" t="e">
        <f>IF(VLOOKUP($C15,Mensual!$D$6:$G$163,4,0)&lt;0,0,VLOOKUP($C15,Mensual!$D$6:$G$163,4,0))</f>
        <v>#N/A</v>
      </c>
      <c r="G15" s="4" t="e">
        <f>IF(VLOOKUP($C15,Mensual!$D$6:$H$163,5,0)&lt;0,0,VLOOKUP($C15,Mensual!$D$6:$H$163,5,0))</f>
        <v>#N/A</v>
      </c>
      <c r="H15" s="4" t="e">
        <f t="shared" ref="H15:H17" si="1">+G15*B15</f>
        <v>#N/A</v>
      </c>
      <c r="I15" s="31"/>
      <c r="J15" s="31"/>
      <c r="K15" s="31"/>
      <c r="L15" s="31"/>
      <c r="M15" s="3"/>
      <c r="N15" s="3"/>
      <c r="O15" s="3"/>
      <c r="P15" s="3"/>
      <c r="Q15" s="3"/>
      <c r="R15" s="3"/>
      <c r="S15" s="3"/>
    </row>
    <row r="16" spans="1:21" x14ac:dyDescent="0.25">
      <c r="A16">
        <f>+Mensual!B7</f>
        <v>410101</v>
      </c>
      <c r="B16" s="3">
        <v>0.3</v>
      </c>
      <c r="C16" s="15" t="s">
        <v>319</v>
      </c>
      <c r="D16" s="33" t="e">
        <f>IF(VLOOKUP($C16,Mensual!$D$6:$G$163,2,0)&lt;0,0,VLOOKUP($C16,Mensual!$D$6:$G$163,2,0))</f>
        <v>#N/A</v>
      </c>
      <c r="E16" s="34" t="e">
        <f>IF(VLOOKUP($C16,Mensual!$D$6:$G$163,3,0)&lt;0,0,VLOOKUP($C16,Mensual!$D$6:$G$163,3,0))</f>
        <v>#N/A</v>
      </c>
      <c r="F16" s="34" t="e">
        <f>IF(VLOOKUP($C16,Mensual!$D$6:$G$163,4,0)&lt;0,0,VLOOKUP($C16,Mensual!$D$6:$G$163,4,0))</f>
        <v>#N/A</v>
      </c>
      <c r="G16" s="4" t="e">
        <f>IF(VLOOKUP($C16,Mensual!$D$6:$H$163,5,0)&lt;0,0,VLOOKUP($C16,Mensual!$D$6:$H$163,5,0))</f>
        <v>#N/A</v>
      </c>
      <c r="H16" s="4" t="e">
        <f t="shared" si="1"/>
        <v>#N/A</v>
      </c>
      <c r="I16" s="31">
        <f>+Mensual!J7</f>
        <v>0</v>
      </c>
      <c r="J16" s="31">
        <f>+Mensual!K7</f>
        <v>0</v>
      </c>
      <c r="K16" s="31">
        <f>+Mensual!L7</f>
        <v>0</v>
      </c>
      <c r="L16" s="31">
        <f>+Mensual!M7</f>
        <v>0</v>
      </c>
      <c r="M16" s="3"/>
      <c r="N16" s="3"/>
      <c r="O16" s="3"/>
      <c r="P16" s="3"/>
      <c r="Q16" s="3"/>
      <c r="R16" s="3"/>
      <c r="S16" s="3"/>
    </row>
    <row r="17" spans="1:19" x14ac:dyDescent="0.25">
      <c r="A17">
        <f>+Mensual!B8</f>
        <v>0</v>
      </c>
      <c r="B17" s="3">
        <v>0.3</v>
      </c>
      <c r="C17" s="15" t="s">
        <v>320</v>
      </c>
      <c r="D17" s="33" t="e">
        <f>IF(VLOOKUP($C17,Mensual!$D$6:$G$163,2,0)&lt;0,0,VLOOKUP($C17,Mensual!$D$6:$G$163,2,0))</f>
        <v>#N/A</v>
      </c>
      <c r="E17" s="34" t="e">
        <f>IF(VLOOKUP($C17,Mensual!$D$6:$G$163,3,0)&lt;0,0,VLOOKUP($C17,Mensual!$D$6:$G$163,3,0))</f>
        <v>#N/A</v>
      </c>
      <c r="F17" s="34" t="e">
        <f>IF(VLOOKUP($C17,Mensual!$D$6:$G$163,4,0)&lt;0,0,VLOOKUP($C17,Mensual!$D$6:$G$163,4,0))</f>
        <v>#N/A</v>
      </c>
      <c r="G17" s="4" t="e">
        <f>IF(VLOOKUP($C17,Mensual!$D$6:$H$163,5,0)&lt;0,0,VLOOKUP($C17,Mensual!$D$6:$H$163,5,0))</f>
        <v>#N/A</v>
      </c>
      <c r="H17" s="4" t="e">
        <f t="shared" si="1"/>
        <v>#N/A</v>
      </c>
      <c r="I17" s="31">
        <f>+Mensual!J8</f>
        <v>0</v>
      </c>
      <c r="J17" s="31">
        <f>+Mensual!K8</f>
        <v>0</v>
      </c>
      <c r="K17" s="31">
        <f>+Mensual!L8</f>
        <v>0</v>
      </c>
      <c r="L17" s="31">
        <f>+Mensual!M8</f>
        <v>0</v>
      </c>
      <c r="M17" s="3"/>
      <c r="N17" s="3"/>
      <c r="O17" s="3"/>
      <c r="P17" s="3"/>
      <c r="Q17" s="3"/>
      <c r="R17" s="3"/>
      <c r="S17" s="3"/>
    </row>
    <row r="18" spans="1:19" x14ac:dyDescent="0.25">
      <c r="B18" s="1">
        <f>SUM(B6:B17)</f>
        <v>1</v>
      </c>
      <c r="C18" s="2"/>
      <c r="D18" s="1"/>
      <c r="E18" s="1"/>
      <c r="F18" s="1"/>
      <c r="G18" s="1"/>
      <c r="H18" s="35" t="e">
        <f>SUM(H6:H17)</f>
        <v>#N/A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C19" s="2"/>
    </row>
    <row r="20" spans="1:19" x14ac:dyDescent="0.25">
      <c r="B20" s="14"/>
      <c r="C20" s="243"/>
      <c r="D20" s="243"/>
      <c r="E20" s="243"/>
    </row>
  </sheetData>
  <mergeCells count="2">
    <mergeCell ref="D3:F3"/>
    <mergeCell ref="C20:E20"/>
  </mergeCell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B00-000000000000}">
          <x14:formula1>
            <xm:f>Acumulado!$C$3:$C$125</xm:f>
          </x14:formula1>
          <xm:sqref>C6:C17</xm:sqref>
        </x14:dataValidation>
        <x14:dataValidation type="list" allowBlank="1" showInputMessage="1" showErrorMessage="1" xr:uid="{00000000-0002-0000-1B00-000001000000}">
          <x14:formula1>
            <xm:f>Listados!#REF!</xm:f>
          </x14:formula1>
          <xm:sqref>C20:E20</xm:sqref>
        </x14:dataValidation>
        <x14:dataValidation type="list" allowBlank="1" showInputMessage="1" showErrorMessage="1" xr:uid="{00000000-0002-0000-1B00-000002000000}">
          <x14:formula1>
            <xm:f>Listados!$A$1:$L$1</xm:f>
          </x14:formula1>
          <xm:sqref>D3:F3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15"/>
  <sheetViews>
    <sheetView zoomScaleNormal="100" workbookViewId="0">
      <selection activeCell="B22" sqref="B22"/>
    </sheetView>
  </sheetViews>
  <sheetFormatPr baseColWidth="10" defaultColWidth="11.42578125" defaultRowHeight="15" x14ac:dyDescent="0.25"/>
  <cols>
    <col min="1" max="21" width="22.7109375" customWidth="1"/>
  </cols>
  <sheetData>
    <row r="1" spans="1:12" x14ac:dyDescent="0.25">
      <c r="A1" t="s">
        <v>39</v>
      </c>
      <c r="B1" t="s">
        <v>3</v>
      </c>
      <c r="C1" t="s">
        <v>16</v>
      </c>
      <c r="D1" t="s">
        <v>108</v>
      </c>
      <c r="E1" t="s">
        <v>77</v>
      </c>
      <c r="F1" t="s">
        <v>91</v>
      </c>
      <c r="G1" t="s">
        <v>321</v>
      </c>
      <c r="H1" t="s">
        <v>322</v>
      </c>
      <c r="I1" t="s">
        <v>323</v>
      </c>
      <c r="J1" t="s">
        <v>324</v>
      </c>
      <c r="K1" t="s">
        <v>56</v>
      </c>
      <c r="L1" t="s">
        <v>101</v>
      </c>
    </row>
    <row r="2" spans="1:12" x14ac:dyDescent="0.25">
      <c r="A2" t="s">
        <v>32</v>
      </c>
      <c r="B2" t="s">
        <v>50</v>
      </c>
      <c r="C2" t="s">
        <v>17</v>
      </c>
      <c r="D2" t="s">
        <v>107</v>
      </c>
      <c r="E2" t="s">
        <v>76</v>
      </c>
      <c r="F2" t="s">
        <v>90</v>
      </c>
      <c r="G2" t="s">
        <v>325</v>
      </c>
      <c r="H2" t="s">
        <v>326</v>
      </c>
      <c r="I2" t="s">
        <v>327</v>
      </c>
      <c r="J2" t="s">
        <v>328</v>
      </c>
      <c r="K2" t="s">
        <v>329</v>
      </c>
      <c r="L2" t="s">
        <v>100</v>
      </c>
    </row>
    <row r="3" spans="1:12" x14ac:dyDescent="0.25">
      <c r="A3" t="s">
        <v>42</v>
      </c>
      <c r="B3" t="s">
        <v>330</v>
      </c>
      <c r="C3" t="s">
        <v>74</v>
      </c>
      <c r="D3" t="s">
        <v>122</v>
      </c>
      <c r="E3" t="s">
        <v>331</v>
      </c>
      <c r="F3" t="s">
        <v>332</v>
      </c>
      <c r="G3" t="s">
        <v>333</v>
      </c>
      <c r="I3" t="s">
        <v>334</v>
      </c>
      <c r="K3" t="s">
        <v>335</v>
      </c>
      <c r="L3" t="s">
        <v>336</v>
      </c>
    </row>
    <row r="4" spans="1:12" x14ac:dyDescent="0.25">
      <c r="A4" t="s">
        <v>46</v>
      </c>
      <c r="B4" t="s">
        <v>53</v>
      </c>
      <c r="C4" t="s">
        <v>73</v>
      </c>
      <c r="D4" t="s">
        <v>123</v>
      </c>
      <c r="E4" t="s">
        <v>337</v>
      </c>
      <c r="F4" t="s">
        <v>338</v>
      </c>
      <c r="G4" t="s">
        <v>339</v>
      </c>
      <c r="I4" t="s">
        <v>340</v>
      </c>
      <c r="L4" t="s">
        <v>341</v>
      </c>
    </row>
    <row r="5" spans="1:12" x14ac:dyDescent="0.25">
      <c r="A5" t="s">
        <v>43</v>
      </c>
      <c r="B5" t="s">
        <v>342</v>
      </c>
      <c r="C5" t="s">
        <v>67</v>
      </c>
      <c r="D5" t="s">
        <v>124</v>
      </c>
      <c r="E5" t="s">
        <v>343</v>
      </c>
      <c r="F5" t="s">
        <v>344</v>
      </c>
      <c r="I5" t="s">
        <v>345</v>
      </c>
      <c r="L5" t="s">
        <v>346</v>
      </c>
    </row>
    <row r="6" spans="1:12" x14ac:dyDescent="0.25">
      <c r="A6" t="s">
        <v>49</v>
      </c>
      <c r="C6" t="s">
        <v>72</v>
      </c>
      <c r="E6" t="s">
        <v>347</v>
      </c>
      <c r="F6" t="s">
        <v>348</v>
      </c>
      <c r="I6" t="s">
        <v>349</v>
      </c>
      <c r="L6" t="s">
        <v>350</v>
      </c>
    </row>
    <row r="7" spans="1:12" x14ac:dyDescent="0.25">
      <c r="A7" t="s">
        <v>41</v>
      </c>
      <c r="C7" t="s">
        <v>351</v>
      </c>
      <c r="E7" t="s">
        <v>352</v>
      </c>
      <c r="F7" t="s">
        <v>353</v>
      </c>
      <c r="I7" t="s">
        <v>354</v>
      </c>
      <c r="L7" t="s">
        <v>355</v>
      </c>
    </row>
    <row r="8" spans="1:12" x14ac:dyDescent="0.25">
      <c r="C8" t="s">
        <v>71</v>
      </c>
      <c r="E8" t="s">
        <v>356</v>
      </c>
      <c r="I8" t="s">
        <v>357</v>
      </c>
      <c r="L8" t="s">
        <v>358</v>
      </c>
    </row>
    <row r="9" spans="1:12" x14ac:dyDescent="0.25">
      <c r="C9" t="s">
        <v>75</v>
      </c>
      <c r="E9" t="s">
        <v>359</v>
      </c>
      <c r="I9" t="s">
        <v>360</v>
      </c>
      <c r="L9" t="s">
        <v>361</v>
      </c>
    </row>
    <row r="10" spans="1:12" x14ac:dyDescent="0.25">
      <c r="C10" t="s">
        <v>69</v>
      </c>
      <c r="E10" t="s">
        <v>362</v>
      </c>
      <c r="I10" t="s">
        <v>363</v>
      </c>
      <c r="L10" t="s">
        <v>364</v>
      </c>
    </row>
    <row r="11" spans="1:12" x14ac:dyDescent="0.25">
      <c r="C11" t="s">
        <v>68</v>
      </c>
      <c r="E11" t="s">
        <v>365</v>
      </c>
      <c r="I11" t="s">
        <v>366</v>
      </c>
      <c r="L11" t="s">
        <v>367</v>
      </c>
    </row>
    <row r="12" spans="1:12" x14ac:dyDescent="0.25">
      <c r="C12" t="s">
        <v>65</v>
      </c>
      <c r="I12" t="s">
        <v>368</v>
      </c>
      <c r="L12" t="s">
        <v>369</v>
      </c>
    </row>
    <row r="13" spans="1:12" x14ac:dyDescent="0.25">
      <c r="I13" t="s">
        <v>370</v>
      </c>
      <c r="L13" t="s">
        <v>371</v>
      </c>
    </row>
    <row r="14" spans="1:12" x14ac:dyDescent="0.25">
      <c r="I14" t="s">
        <v>372</v>
      </c>
      <c r="L14" t="s">
        <v>373</v>
      </c>
    </row>
    <row r="15" spans="1:12" x14ac:dyDescent="0.25">
      <c r="I15" t="s">
        <v>374</v>
      </c>
      <c r="L15" t="s">
        <v>375</v>
      </c>
    </row>
  </sheetData>
  <pageMargins left="0.7" right="0.7" top="0.75" bottom="0.75" header="0.3" footer="0.3"/>
  <pageSetup scale="45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32</vt:i4>
      </vt:variant>
      <vt:variant>
        <vt:lpstr>Rangos con nombre</vt:lpstr>
      </vt:variant>
      <vt:variant>
        <vt:i4>16</vt:i4>
      </vt:variant>
    </vt:vector>
  </HeadingPairs>
  <TitlesOfParts>
    <vt:vector size="48" baseType="lpstr">
      <vt:lpstr>Contenedores</vt:lpstr>
      <vt:lpstr>Nancy Garcia b (4)</vt:lpstr>
      <vt:lpstr>David Molina</vt:lpstr>
      <vt:lpstr>Desarrollo</vt:lpstr>
      <vt:lpstr>Yadira</vt:lpstr>
      <vt:lpstr>Keila</vt:lpstr>
      <vt:lpstr>Mario</vt:lpstr>
      <vt:lpstr>Luis Madrid</vt:lpstr>
      <vt:lpstr>Roy Reyes</vt:lpstr>
      <vt:lpstr>TRANEXPA</vt:lpstr>
      <vt:lpstr>TREXA</vt:lpstr>
      <vt:lpstr>Julio - Alejandro</vt:lpstr>
      <vt:lpstr>Cecilia</vt:lpstr>
      <vt:lpstr>Compras</vt:lpstr>
      <vt:lpstr>Tesoreria</vt:lpstr>
      <vt:lpstr>Lorenzo Varela</vt:lpstr>
      <vt:lpstr>Puerto Cortes</vt:lpstr>
      <vt:lpstr>Cubillo</vt:lpstr>
      <vt:lpstr>San Lorenzo b</vt:lpstr>
      <vt:lpstr>Gasolinera</vt:lpstr>
      <vt:lpstr>Abner U b</vt:lpstr>
      <vt:lpstr>Jacky</vt:lpstr>
      <vt:lpstr>Servicio al cliente b</vt:lpstr>
      <vt:lpstr>Mensual (2)</vt:lpstr>
      <vt:lpstr>Hoja3</vt:lpstr>
      <vt:lpstr>Mensual</vt:lpstr>
      <vt:lpstr>Hoja2</vt:lpstr>
      <vt:lpstr>Hoja1</vt:lpstr>
      <vt:lpstr>Acumulado</vt:lpstr>
      <vt:lpstr>EJ,. CXMA acumulado</vt:lpstr>
      <vt:lpstr>EJ,. CXMA MENSUAL</vt:lpstr>
      <vt:lpstr>Listados</vt:lpstr>
      <vt:lpstr>Administracion</vt:lpstr>
      <vt:lpstr>Listados!Área_de_impresión</vt:lpstr>
      <vt:lpstr>Contenedores</vt:lpstr>
      <vt:lpstr>Gasolinera</vt:lpstr>
      <vt:lpstr>Interchange</vt:lpstr>
      <vt:lpstr>Interchange_PC</vt:lpstr>
      <vt:lpstr>Interchange_SL</vt:lpstr>
      <vt:lpstr>Predio_Puerto_Cortes</vt:lpstr>
      <vt:lpstr>Predio_San_Lorenzo</vt:lpstr>
      <vt:lpstr>Servicio_Al_Cliente</vt:lpstr>
      <vt:lpstr>ServicioAlCliente</vt:lpstr>
      <vt:lpstr>Sistemas_Y_Procesos</vt:lpstr>
      <vt:lpstr>SistemasYProcesos</vt:lpstr>
      <vt:lpstr>Taller_PC</vt:lpstr>
      <vt:lpstr>Taller_SL</vt:lpstr>
      <vt:lpstr>Transporte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ODC2</cp:lastModifiedBy>
  <cp:revision/>
  <dcterms:created xsi:type="dcterms:W3CDTF">2019-08-09T17:57:55Z</dcterms:created>
  <dcterms:modified xsi:type="dcterms:W3CDTF">2026-08-27T15:40:13Z</dcterms:modified>
  <cp:category/>
  <cp:contentStatus/>
</cp:coreProperties>
</file>