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DC2\Desktop\exa-kpi-system-starter\exa-kpi-system\backend\exa-monitoring-service\src\"/>
    </mc:Choice>
  </mc:AlternateContent>
  <xr:revisionPtr revIDLastSave="0" documentId="8_{06E4A3AA-18DE-4655-967A-0A428A92F3F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ummary" sheetId="1" r:id="rId1"/>
    <sheet name="KPI Catalog" sheetId="2" r:id="rId2"/>
    <sheet name="Review Queue" sheetId="3" r:id="rId3"/>
    <sheet name="Source Occurrences" sheetId="4" r:id="rId4"/>
    <sheet name="Allowed Values" sheetId="5" r:id="rId5"/>
    <sheet name="Changes Neede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E8" i="1"/>
  <c r="B8" i="1"/>
  <c r="E7" i="1"/>
  <c r="B7" i="1"/>
  <c r="H6" i="1"/>
  <c r="E6" i="1"/>
  <c r="B6" i="1"/>
  <c r="H5" i="1"/>
  <c r="E5" i="1"/>
  <c r="B5" i="1"/>
  <c r="H4" i="1"/>
  <c r="E4" i="1"/>
  <c r="B4" i="1"/>
</calcChain>
</file>

<file path=xl/sharedStrings.xml><?xml version="1.0" encoding="utf-8"?>
<sst xmlns="http://schemas.openxmlformats.org/spreadsheetml/2006/main" count="4349" uniqueCount="778">
  <si>
    <t>KPI Evaluation Catalog — Working Classification</t>
  </si>
  <si>
    <t>Metric</t>
  </si>
  <si>
    <t>Value</t>
  </si>
  <si>
    <t>Evaluation Type</t>
  </si>
  <si>
    <t>Count</t>
  </si>
  <si>
    <t>Catalog Status</t>
  </si>
  <si>
    <t>Catalog records</t>
  </si>
  <si>
    <t>GREATER_IS_BETTER</t>
  </si>
  <si>
    <t>PROPOSED</t>
  </si>
  <si>
    <t>Atomic KPIs</t>
  </si>
  <si>
    <t>LOWER_IS_BETTER</t>
  </si>
  <si>
    <t>BLOCKED</t>
  </si>
  <si>
    <t>Feature / Milestone</t>
  </si>
  <si>
    <t>BINARY / MILESTONE</t>
  </si>
  <si>
    <t>EXCLUDE / REVIEW</t>
  </si>
  <si>
    <t>Blocked / needs decision</t>
  </si>
  <si>
    <t>EQUAL_OR_LOWER_REVIEW</t>
  </si>
  <si>
    <t>Excluded / aggregates</t>
  </si>
  <si>
    <t>NEEDS_REVIEW</t>
  </si>
  <si>
    <t>Category</t>
  </si>
  <si>
    <t>How to use this workbook</t>
  </si>
  <si>
    <t>Operational Productivity</t>
  </si>
  <si>
    <t>1. This is a proposed working classification, not an approved business rulebook.</t>
  </si>
  <si>
    <t>Commercial Growth</t>
  </si>
  <si>
    <t>2. Review BLOCKED items first; many have ambiguous result semantics, zero goals, or inconsistent legacy units/goals.</t>
  </si>
  <si>
    <t>Financial Performance</t>
  </si>
  <si>
    <t>3. Evaluation Type answers whether higher/lower/equal/range is better; Scoring Method answers how Goal + Result becomes Compliance.</t>
  </si>
  <si>
    <t>Innovation &amp; Digitalization</t>
  </si>
  <si>
    <t>4. Result Semantics is critical: e.g. “reduce cost 10%” can mean lower actual cost OR higher achieved reduction percentage.</t>
  </si>
  <si>
    <t>Cost Efficiency</t>
  </si>
  <si>
    <t>5. Source Occurrences preserves traceability back to the original workbook and shows where the same KPI was reused.</t>
  </si>
  <si>
    <t>Needs Business Review</t>
  </si>
  <si>
    <t>Asset Utilization</t>
  </si>
  <si>
    <t>Process &amp; Service Quality</t>
  </si>
  <si>
    <t>Safety &amp; Risk</t>
  </si>
  <si>
    <t>Customer Experience</t>
  </si>
  <si>
    <t>Financial Health</t>
  </si>
  <si>
    <t>People &amp; Culture</t>
  </si>
  <si>
    <t>Catalog ID</t>
  </si>
  <si>
    <t>Legacy Code</t>
  </si>
  <si>
    <t>KPI Name / Original</t>
  </si>
  <si>
    <t>Row Type</t>
  </si>
  <si>
    <t>Category (Proposed)</t>
  </si>
  <si>
    <t>Primary Owner (Proposed)</t>
  </si>
  <si>
    <t>Result Semantics</t>
  </si>
  <si>
    <t>Measurement Unit (Proposed)</t>
  </si>
  <si>
    <t>Goal Example</t>
  </si>
  <si>
    <t>Evaluation Type (Proposed)</t>
  </si>
  <si>
    <t>Scoring Method (Proposed)</t>
  </si>
  <si>
    <t>Special Rule / Rationale</t>
  </si>
  <si>
    <t>Example Result (Source)</t>
  </si>
  <si>
    <t>Illustrative Raw Achievement %</t>
  </si>
  <si>
    <t>Illustrative Compliance % (cap 100)</t>
  </si>
  <si>
    <t>Classification Confidence</t>
  </si>
  <si>
    <t>Business Review Required</t>
  </si>
  <si>
    <t>Review Reason</t>
  </si>
  <si>
    <t>KPI Family</t>
  </si>
  <si>
    <t>Source Department(s)</t>
  </si>
  <si>
    <t>Source Sheet(s)</t>
  </si>
  <si>
    <t>Occurrences</t>
  </si>
  <si>
    <t>Original Unit Variant(s)</t>
  </si>
  <si>
    <t>Goal Variant(s)</t>
  </si>
  <si>
    <t>Calculation Note</t>
  </si>
  <si>
    <t>Action Priority</t>
  </si>
  <si>
    <t>What Must Change / Confirm</t>
  </si>
  <si>
    <t>Business Question / Decision</t>
  </si>
  <si>
    <t>Recommended Next Status</t>
  </si>
  <si>
    <t>Blocks Production Scoring for This KPI?</t>
  </si>
  <si>
    <t>CAT-001</t>
  </si>
  <si>
    <t>1</t>
  </si>
  <si>
    <t>Aumentar ventas en el año 2023 del Grupo EXA (EXA, CONMOXA, AXA, TREXA, SAN JORGE) en 10% en USD vs año 2022.</t>
  </si>
  <si>
    <t>ATOMIC KPI</t>
  </si>
  <si>
    <t>Contenedores / Ventas</t>
  </si>
  <si>
    <t>CHANGE_PERCENT</t>
  </si>
  <si>
    <t>%</t>
  </si>
  <si>
    <t>PROPORTIONAL</t>
  </si>
  <si>
    <t>Mayor resultado = mejor; usar Result/Goal si el Goal es comparable.</t>
  </si>
  <si>
    <t>MEDIUM</t>
  </si>
  <si>
    <t>YES</t>
  </si>
  <si>
    <t>Confirmar que Result es porcentaje de cambio logrado y no valor absoluto.</t>
  </si>
  <si>
    <t>Sales &amp; Commercial</t>
  </si>
  <si>
    <t>Hoja3</t>
  </si>
  <si>
    <t>Porcentaje</t>
  </si>
  <si>
    <t>0.1</t>
  </si>
  <si>
    <t>P1 - BUSINESS CONFIRMATION</t>
  </si>
  <si>
    <t>Confirm Result Semantics and Goal interpretation; the current Greater/Lower proposal is plausible but not safe enough to approve automatically.</t>
  </si>
  <si>
    <t>APPROVED</t>
  </si>
  <si>
    <t>YES for production</t>
  </si>
  <si>
    <t>CAT-002</t>
  </si>
  <si>
    <t>Aumentar ventas en:</t>
  </si>
  <si>
    <t>PARENT / AGGREGATE</t>
  </si>
  <si>
    <t>USD</t>
  </si>
  <si>
    <t>LOW</t>
  </si>
  <si>
    <t>No es un KPI atómico confiable para scoring.</t>
  </si>
  <si>
    <t>Hoja1</t>
  </si>
  <si>
    <t>Dólares</t>
  </si>
  <si>
    <t>0.2</t>
  </si>
  <si>
    <t>P3 - EXCLUDE/STRUCTURE</t>
  </si>
  <si>
    <t>Do not score this row as an atomic KPI. Keep it only as a parent/group/Scorecard aggregate if the business still needs it.</t>
  </si>
  <si>
    <t>Confirm that this row is an aggregate/header and should not generate an independent KPI result.</t>
  </si>
  <si>
    <t>NO - exclude from atomic scoring</t>
  </si>
  <si>
    <t>CAT-003</t>
  </si>
  <si>
    <t>1.10</t>
  </si>
  <si>
    <t>Aumentar ventas en articulos Sejue/get504</t>
  </si>
  <si>
    <t>ABSOLUTE_VALUE</t>
  </si>
  <si>
    <t>artículos</t>
  </si>
  <si>
    <t>HIGH</t>
  </si>
  <si>
    <t>Clasificación propuesta con señales consistentes; requiere aprobación formal.</t>
  </si>
  <si>
    <t>Contenedores</t>
  </si>
  <si>
    <t>Contenedores, Luis Madrid</t>
  </si>
  <si>
    <t>Articulos</t>
  </si>
  <si>
    <t>10</t>
  </si>
  <si>
    <t>P2 - APPROVAL</t>
  </si>
  <si>
    <t>No formula change is currently suggested; obtain formal business approval and normalize any naming/unit variants.</t>
  </si>
  <si>
    <t>Confirm KPI meaning, Goal, Unit, Evaluation Type and Scoring Method as proposed.</t>
  </si>
  <si>
    <t>NO - formula can be tested</t>
  </si>
  <si>
    <t>CAT-004</t>
  </si>
  <si>
    <t>1.11</t>
  </si>
  <si>
    <t>Tienda de conveniencia (Primeros 4 meses 15k usd y 25k usd)</t>
  </si>
  <si>
    <t>Gasolinera</t>
  </si>
  <si>
    <t>No hay suficiente información inequívoca para decidir la fórmula.</t>
  </si>
  <si>
    <t>Semántica o dirección de evaluación ambigua.</t>
  </si>
  <si>
    <t>Other</t>
  </si>
  <si>
    <t>Abner U b, Gasolinera</t>
  </si>
  <si>
    <t>25000</t>
  </si>
  <si>
    <t>P0 - BLOCKING</t>
  </si>
  <si>
    <t>Must clarify what the Result actually represents; choose the Evaluation Type; define the Scoring Method before this KPI can be scored safely.</t>
  </si>
  <si>
    <t>What does Result represent: absolute value, percentage change, compliance %, count, rate, duration, cost, ratio, or another value? Is higher better, lower better, exact target, range, or milestone/binary? How should Goal + Result be converted to Compliance %?</t>
  </si>
  <si>
    <t>CAT-005</t>
  </si>
  <si>
    <t>1.13</t>
  </si>
  <si>
    <t>Aumentar servicio de almacenamiento y M&amp;R San Lorenzo</t>
  </si>
  <si>
    <t>Predio San Lorenzo / Taller</t>
  </si>
  <si>
    <t>REVIEW</t>
  </si>
  <si>
    <t>Predio San Lorenzo</t>
  </si>
  <si>
    <t>Cubillo, San Lorenzo b</t>
  </si>
  <si>
    <t>0</t>
  </si>
  <si>
    <t>Must clarify what the Result actually represents; normalize the Measurement Unit before this KPI can be scored safely.</t>
  </si>
  <si>
    <t>What does Result represent: absolute value, percentage change, compliance %, count, rate, duration, cost, ratio, or another value? What exact unit should be stored and displayed for Result?</t>
  </si>
  <si>
    <t>CAT-006</t>
  </si>
  <si>
    <t>1.14</t>
  </si>
  <si>
    <t>Incrementar gate out de contenedores Puerto Cortés</t>
  </si>
  <si>
    <t>Predio Puerto Cortés</t>
  </si>
  <si>
    <t>gate-outs</t>
  </si>
  <si>
    <t>Predio Puerto Cortes</t>
  </si>
  <si>
    <t>Lorenzo Varela, Puerto Cortes</t>
  </si>
  <si>
    <t>Gate</t>
  </si>
  <si>
    <t>CAT-007</t>
  </si>
  <si>
    <t>1.17</t>
  </si>
  <si>
    <t>Aumentar el numero de cliente semestralmente</t>
  </si>
  <si>
    <t>Administracion</t>
  </si>
  <si>
    <t>clientes</t>
  </si>
  <si>
    <t>TREXA</t>
  </si>
  <si>
    <t>cliente</t>
  </si>
  <si>
    <t>CAT-008</t>
  </si>
  <si>
    <t>1.2</t>
  </si>
  <si>
    <t>Lograr meta de contenedores</t>
  </si>
  <si>
    <t>15</t>
  </si>
  <si>
    <t>CAT-009</t>
  </si>
  <si>
    <t>1.3</t>
  </si>
  <si>
    <t>Lograr meta de ventas contenedores secos y modificados(dolares)</t>
  </si>
  <si>
    <t>40000</t>
  </si>
  <si>
    <t>CAT-010</t>
  </si>
  <si>
    <t>1.4</t>
  </si>
  <si>
    <t>Lograr meta de ventas en alquileres de contenedores reefer (solo o en combo)</t>
  </si>
  <si>
    <t>16000</t>
  </si>
  <si>
    <t>CAT-011</t>
  </si>
  <si>
    <t>1.5</t>
  </si>
  <si>
    <t>Aumentar Rentas bienes y raices</t>
  </si>
  <si>
    <t>Luis Madrid</t>
  </si>
  <si>
    <t>CAT-012</t>
  </si>
  <si>
    <t>1.6</t>
  </si>
  <si>
    <t>Alquileres de contenedores secos (solo o en combos CONMOXA)</t>
  </si>
  <si>
    <t>Must choose the Evaluation Type; define the Scoring Method before this KPI can be scored safely.</t>
  </si>
  <si>
    <t>Is higher better, lower better, exact target, range, or milestone/binary? How should Goal + Result be converted to Compliance %?</t>
  </si>
  <si>
    <t>CAT-013</t>
  </si>
  <si>
    <t>1.7</t>
  </si>
  <si>
    <t>Lograr ventas de gasolinera de galones</t>
  </si>
  <si>
    <t>galones</t>
  </si>
  <si>
    <t>Galones</t>
  </si>
  <si>
    <t>100000</t>
  </si>
  <si>
    <t>CAT-014</t>
  </si>
  <si>
    <t>1.8</t>
  </si>
  <si>
    <t>Aumentar ventas en TREXA</t>
  </si>
  <si>
    <t>Nancy Garcia b (4), TREXA</t>
  </si>
  <si>
    <t>CAT-015</t>
  </si>
  <si>
    <t>1.9</t>
  </si>
  <si>
    <t>Aumento en ventas de GPS a terceros (nuevos clientes)</t>
  </si>
  <si>
    <t>unidades/mes</t>
  </si>
  <si>
    <t>Contenedores, Sistemas Y Procesos</t>
  </si>
  <si>
    <t>Keila, Roy Reyes</t>
  </si>
  <si>
    <t>Unidad instaladas / mensuales</t>
  </si>
  <si>
    <t>CAT-016</t>
  </si>
  <si>
    <t>CONMOXA</t>
  </si>
  <si>
    <t>SCORECARD_AGGREGATE</t>
  </si>
  <si>
    <t>RESULTADO SCORECARD</t>
  </si>
  <si>
    <t>Luis Madrid, Roy Reyes</t>
  </si>
  <si>
    <t>CAT-017</t>
  </si>
  <si>
    <t>2</t>
  </si>
  <si>
    <t>Aumentar margen neto</t>
  </si>
  <si>
    <t>Administración / Finanzas</t>
  </si>
  <si>
    <t>RATIO_OR_PERCENT</t>
  </si>
  <si>
    <t>Margins</t>
  </si>
  <si>
    <t>CAT-018</t>
  </si>
  <si>
    <t>Aumentar margen neto vrs año anterior</t>
  </si>
  <si>
    <t>CAT-019</t>
  </si>
  <si>
    <t>2.1</t>
  </si>
  <si>
    <t>Reducir gasto administrativo x%</t>
  </si>
  <si>
    <t>Result parece representar % de reducción lograda; confirmar semántica antes de aprobar.</t>
  </si>
  <si>
    <t>Costs &amp; Efficiency</t>
  </si>
  <si>
    <t>Cecilia, Compras, Julio - Alejandro, Nancy Garcia b (4), Tesoreria</t>
  </si>
  <si>
    <t>CAT-020</t>
  </si>
  <si>
    <t>2.11</t>
  </si>
  <si>
    <t>Gasto administrativo San Lorenzo</t>
  </si>
  <si>
    <t>UNIT_COST_OR_COST_RATE</t>
  </si>
  <si>
    <t>Must normalize the Measurement Unit; choose the Evaluation Type; define the Scoring Method before this KPI can be scored safely.</t>
  </si>
  <si>
    <t>What exact unit should be stored and displayed for Result? Is higher better, lower better, exact target, range, or milestone/binary? How should Goal + Result be converted to Compliance %?</t>
  </si>
  <si>
    <t>CAT-021</t>
  </si>
  <si>
    <t>2.12</t>
  </si>
  <si>
    <t>Costo por mes por GPS (Costo de plataforma + Tigo/claro + otros costos)</t>
  </si>
  <si>
    <t>Sistemas y Procesos</t>
  </si>
  <si>
    <t>Sistemas Y Procesos</t>
  </si>
  <si>
    <t>Keila</t>
  </si>
  <si>
    <t>$</t>
  </si>
  <si>
    <t>8</t>
  </si>
  <si>
    <t>CAT-022</t>
  </si>
  <si>
    <t>2.13</t>
  </si>
  <si>
    <t>Reducir Costo de M&amp;R por contenedor Puerto Cortes</t>
  </si>
  <si>
    <t>Predio Puerto Cortés / Taller</t>
  </si>
  <si>
    <t>USD/contenedor</t>
  </si>
  <si>
    <t>Menor valor real = mejor; usar Goal/Result si Goal&gt;0.</t>
  </si>
  <si>
    <t>$/contenedor</t>
  </si>
  <si>
    <t>Result=0 tratado como mejor que meta para ejemplo; revisar negocio.</t>
  </si>
  <si>
    <t>CAT-023</t>
  </si>
  <si>
    <t>2.14</t>
  </si>
  <si>
    <t>Reducir costo máquinas (incluye mulita y containers handler) Puerto Cortes</t>
  </si>
  <si>
    <t>CAT-024</t>
  </si>
  <si>
    <t>2.15</t>
  </si>
  <si>
    <t>Aumentar margen de M&amp;R por contenedor San Lorenzo</t>
  </si>
  <si>
    <t>Goal=0 no es compatible con scoring proporcional.</t>
  </si>
  <si>
    <t>Resolve the documented ambiguity before using this KPI in production scoring.</t>
  </si>
  <si>
    <t>CAT-025</t>
  </si>
  <si>
    <t>2.16</t>
  </si>
  <si>
    <t>Reducir costo máquinas (incluye mulita y containers handler) San Lorenzo</t>
  </si>
  <si>
    <t>Unidad de medida ausente/inconsistente; confirmar.</t>
  </si>
  <si>
    <t>Must normalize the Measurement Unit before this KPI can be scored safely.</t>
  </si>
  <si>
    <t>What exact unit should be stored and displayed for Result?</t>
  </si>
  <si>
    <t>CAT-026</t>
  </si>
  <si>
    <t>2.17</t>
  </si>
  <si>
    <t>Reducir costo por km/cabezal TRANEXPA</t>
  </si>
  <si>
    <t>Transporte</t>
  </si>
  <si>
    <t>TRANEXPA</t>
  </si>
  <si>
    <t>CAT-027</t>
  </si>
  <si>
    <t>2.18</t>
  </si>
  <si>
    <t>Reducir M&amp;R gensets $ /genset activo 10%</t>
  </si>
  <si>
    <t>Predio Puerto Cortes / Predio San Lorenzo</t>
  </si>
  <si>
    <t>Predio Puerto Cortes, Predio San Lorenzo</t>
  </si>
  <si>
    <t>Cubillo, Lorenzo Varela, Puerto Cortes, San Lorenzo b</t>
  </si>
  <si>
    <t>dolares</t>
  </si>
  <si>
    <t>Must clarify what the Result actually represents before this KPI can be scored safely.</t>
  </si>
  <si>
    <t>What does Result represent: absolute value, percentage change, compliance %, count, rate, duration, cost, ratio, or another value?</t>
  </si>
  <si>
    <t>CAT-028</t>
  </si>
  <si>
    <t>2.19</t>
  </si>
  <si>
    <t>Gasto administrativo gasolinera 3%/ventas</t>
  </si>
  <si>
    <t>0.03</t>
  </si>
  <si>
    <t>CAT-029</t>
  </si>
  <si>
    <t>2.2</t>
  </si>
  <si>
    <t>Reducir costo de M&amp;R de chasis propios</t>
  </si>
  <si>
    <t>Administracion / Predio Puerto Cortes / Predio San Lorenzo</t>
  </si>
  <si>
    <t>USD/km</t>
  </si>
  <si>
    <t>Administracion, Predio Puerto Cortes, Predio San Lorenzo</t>
  </si>
  <si>
    <t>Compras, Cubillo, Lorenzo Varela, Puerto Cortes, San Lorenzo b</t>
  </si>
  <si>
    <t>$/km</t>
  </si>
  <si>
    <t>0.05</t>
  </si>
  <si>
    <t>CAT-030</t>
  </si>
  <si>
    <t>2.20</t>
  </si>
  <si>
    <t>Margen operativo de tienda</t>
  </si>
  <si>
    <t>Clasificación propuesta por semántica del resultado; requiere revisión del negocio.</t>
  </si>
  <si>
    <t>CAT-031</t>
  </si>
  <si>
    <t>2.21</t>
  </si>
  <si>
    <t>Aumentar % neto del servicio de transporte</t>
  </si>
  <si>
    <t>Servicio Al Cliente / Sistemas Y Procesos</t>
  </si>
  <si>
    <t>Servicio Al Cliente, Sistemas Y Procesos</t>
  </si>
  <si>
    <t>Jacky, Servicio al cliente b, Yadira</t>
  </si>
  <si>
    <t>CAT-032</t>
  </si>
  <si>
    <t>Margen operativo de la gasolinera</t>
  </si>
  <si>
    <t>CAT-033</t>
  </si>
  <si>
    <t>2.22</t>
  </si>
  <si>
    <t>Aumentar margen neto alquiler de contenedores secos (solo o en combo) TREXA</t>
  </si>
  <si>
    <t>CAT-034</t>
  </si>
  <si>
    <t>2.3</t>
  </si>
  <si>
    <t>Reducir Costo por km cabezales propios.</t>
  </si>
  <si>
    <t>Administracion, Transporte</t>
  </si>
  <si>
    <t>Cecilia, Compras, Nancy Garcia b (4), TRANEXPA</t>
  </si>
  <si>
    <t>CAT-035</t>
  </si>
  <si>
    <t>2.5</t>
  </si>
  <si>
    <t>Aumentar Margen neto en venta de contenedores (modificados y secos)</t>
  </si>
  <si>
    <t>CAT-036</t>
  </si>
  <si>
    <t>2.6</t>
  </si>
  <si>
    <t>Aumento en 20% en margen de contribución bruta venta de contenedores</t>
  </si>
  <si>
    <t>CAT-037</t>
  </si>
  <si>
    <t>2.7</t>
  </si>
  <si>
    <t>Aumento en 20% en margen de contribución bruta alquiler de bodegas</t>
  </si>
  <si>
    <t>CAT-038</t>
  </si>
  <si>
    <t>2.8</t>
  </si>
  <si>
    <t>Aumento en 20% en margen de contribución bruta alquiler de reefers.</t>
  </si>
  <si>
    <t>CAT-039</t>
  </si>
  <si>
    <t>2.9</t>
  </si>
  <si>
    <t>Reducir Costo administrativo Puerto Cortés con relacion al año anterior</t>
  </si>
  <si>
    <t>CAT-040</t>
  </si>
  <si>
    <t>3</t>
  </si>
  <si>
    <t>Cero incidentes mayores de seguridad y sostenibilidad</t>
  </si>
  <si>
    <t>Operaciones / Seguridad</t>
  </si>
  <si>
    <t>COUNT_OR_RATE</t>
  </si>
  <si>
    <t>conteo</t>
  </si>
  <si>
    <t>ZERO_TARGET_BANDS</t>
  </si>
  <si>
    <t>Goal=0: 0 eventos = 100%; 1+ requiere bandas aprobadas por negocio.</t>
  </si>
  <si>
    <t>La dirección es clara, pero la penalización/bandas debe aprobarse. El texto exige cero, pero el Goal fuente es 1; confirmar si Goal debe ser 0 o si el resultado es binario.</t>
  </si>
  <si>
    <t>Safety &amp; Compliance</t>
  </si>
  <si>
    <t>Predio Puerto Cortes, Predio San Lorenzo, Servicio Al Cliente, SistemasYProcesos, Sistemas Y Procesos, Transporte</t>
  </si>
  <si>
    <t>Cubillo, David Molina, Hoja1, Hoja3, Jacky, Keila, Lorenzo Varela, Mario, Puerto Cortes, San Lorenzo b, Servicio al cliente b, TRANEXPA, Yadira</t>
  </si>
  <si>
    <t>0 | # Incidente</t>
  </si>
  <si>
    <t>Requiere bandas Zero Target aprobadas.</t>
  </si>
  <si>
    <t>Define KPI-specific Zero Target bands. Do not use a generic division formula when Goal = 0.</t>
  </si>
  <si>
    <t>What Compliance should Result = 0, 1, 2, 3+ produce? Are any occurrences immediately critical?</t>
  </si>
  <si>
    <t>CAT-041</t>
  </si>
  <si>
    <t>3.5</t>
  </si>
  <si>
    <t>Multas ambientales y fiscales.</t>
  </si>
  <si>
    <t>Administracion / Gasolinera</t>
  </si>
  <si>
    <t>La dirección es clara, pero la penalización/bandas debe aprobarse.</t>
  </si>
  <si>
    <t>Administracion, Gasolinera</t>
  </si>
  <si>
    <t>Abner U b, Gasolinera, Julio - Alejandro, Nancy Garcia b (4), Tesoreria</t>
  </si>
  <si>
    <t>CAT-042</t>
  </si>
  <si>
    <t>3.6</t>
  </si>
  <si>
    <t>Cierres contables a mas tardar el 6 de cada mes</t>
  </si>
  <si>
    <t>DEADLINE_OR_DURATION</t>
  </si>
  <si>
    <t>día/cierre</t>
  </si>
  <si>
    <t>THRESHOLD</t>
  </si>
  <si>
    <t>Evaluar contra límite máximo/deadline; no usar regla de tres sin validar la regla empresarial.</t>
  </si>
  <si>
    <t>Process Timeliness</t>
  </si>
  <si>
    <t># de cierres a tiempo</t>
  </si>
  <si>
    <t>6</t>
  </si>
  <si>
    <t>P1 - RULE DEFINITION</t>
  </si>
  <si>
    <t>Confirm threshold boundaries, inclusivity and the penalty/compliance behavior outside the accepted threshold.</t>
  </si>
  <si>
    <t>What exact threshold(s) apply, are boundaries inclusive, and should values outside be proportional or step-based?</t>
  </si>
  <si>
    <t>YES - until rule confirmed</t>
  </si>
  <si>
    <t>CAT-043</t>
  </si>
  <si>
    <t>3.6.1</t>
  </si>
  <si>
    <t>Cierre TREXA</t>
  </si>
  <si>
    <t>CAT-044</t>
  </si>
  <si>
    <t>3.7</t>
  </si>
  <si>
    <t>Cero accidente mayores Y/O robos TRANEXPA</t>
  </si>
  <si>
    <t>CAT-045</t>
  </si>
  <si>
    <t>3.8</t>
  </si>
  <si>
    <t>Aumentar satisfaccion al cliente</t>
  </si>
  <si>
    <t>Servicio al Cliente</t>
  </si>
  <si>
    <t>COMPLIANCE_PERCENT</t>
  </si>
  <si>
    <t>Servicio Al Cliente</t>
  </si>
  <si>
    <t>Jacky, Servicio al cliente b</t>
  </si>
  <si>
    <t>CAT-046</t>
  </si>
  <si>
    <t>3.9</t>
  </si>
  <si>
    <t>On time delivery without sevice incidents</t>
  </si>
  <si>
    <t>Customer Service</t>
  </si>
  <si>
    <t>0.995</t>
  </si>
  <si>
    <t>CAT-047</t>
  </si>
  <si>
    <t>4</t>
  </si>
  <si>
    <t>Aumentar clima laboral</t>
  </si>
  <si>
    <t>Talento Humano</t>
  </si>
  <si>
    <t>People</t>
  </si>
  <si>
    <t>Administracion, Sistemas Y Procesos</t>
  </si>
  <si>
    <t>Hoja1, Hoja3, Mario, Nancy Garcia b (4)</t>
  </si>
  <si>
    <t>0 | Porcentaje</t>
  </si>
  <si>
    <t>CAT-048</t>
  </si>
  <si>
    <t>5</t>
  </si>
  <si>
    <t>Productividad</t>
  </si>
  <si>
    <t>RATE</t>
  </si>
  <si>
    <t>Fleet Productivity</t>
  </si>
  <si>
    <t>SistemasYProcesos, Sistemas Y Procesos</t>
  </si>
  <si>
    <t>David Molina, Desarrollo, Hoja1, Hoja3, Yadira</t>
  </si>
  <si>
    <t>3700 | 3670</t>
  </si>
  <si>
    <t>CAT-049</t>
  </si>
  <si>
    <t>5.1</t>
  </si>
  <si>
    <t>Productividad kms/cabezal/mes.</t>
  </si>
  <si>
    <t>km/cabezal/mes</t>
  </si>
  <si>
    <t>3700</t>
  </si>
  <si>
    <t>CAT-050</t>
  </si>
  <si>
    <t>5.10</t>
  </si>
  <si>
    <t>Aumentar kms TRANEXPA</t>
  </si>
  <si>
    <t>ABSOLUTE_OR_RATE</t>
  </si>
  <si>
    <t>kms</t>
  </si>
  <si>
    <t>CAT-051</t>
  </si>
  <si>
    <t>5.11</t>
  </si>
  <si>
    <t># de fallas operativas adjudicables al predio (Incluye rescates, rechazos) Puerto Cortes</t>
  </si>
  <si>
    <t>fallas</t>
  </si>
  <si>
    <t>THRESHOLD_OR_PROPORTIONAL</t>
  </si>
  <si>
    <t>Menor conteo/tasa suele ser mejor; confirmar si existe límite o bandas.</t>
  </si>
  <si>
    <t>Contenedores, Predio Puerto Cortes</t>
  </si>
  <si>
    <t>Lorenzo Varela, Puerto Cortes, Roy Reyes</t>
  </si>
  <si>
    <t># de fallas</t>
  </si>
  <si>
    <t>CAT-052</t>
  </si>
  <si>
    <t>5.12</t>
  </si>
  <si>
    <t>Aumentar # de viajes de EXA</t>
  </si>
  <si>
    <t># de viajes</t>
  </si>
  <si>
    <t>CAT-053</t>
  </si>
  <si>
    <t>5.13</t>
  </si>
  <si>
    <t>Aumenar promedio de kms/viaje</t>
  </si>
  <si>
    <t>kms/viaje</t>
  </si>
  <si>
    <t>CAT-054</t>
  </si>
  <si>
    <t>5.15</t>
  </si>
  <si>
    <t># de fallas operativas adjudicables al predio (Incluye rescates, rechazos) San Lorenzo</t>
  </si>
  <si>
    <t>CAT-055</t>
  </si>
  <si>
    <t>5.16</t>
  </si>
  <si>
    <t># de notas de credito mensuales</t>
  </si>
  <si>
    <t>notas de crédito</t>
  </si>
  <si>
    <t>Julio - Alejandro</t>
  </si>
  <si>
    <t># notas de credito</t>
  </si>
  <si>
    <t>CAT-056</t>
  </si>
  <si>
    <t>5.2</t>
  </si>
  <si>
    <t>Productividad cabezales Flota Nueva</t>
  </si>
  <si>
    <t>Administracion, Servicio Al Cliente</t>
  </si>
  <si>
    <t>Cecilia, Compras, Jacky, Nancy Garcia b (4), Servicio al cliente b</t>
  </si>
  <si>
    <t>4500</t>
  </si>
  <si>
    <t>CAT-057</t>
  </si>
  <si>
    <t>5.3</t>
  </si>
  <si>
    <t>Productividad cabezales TRANEXPA</t>
  </si>
  <si>
    <t>Servicio Al Cliente, Transporte</t>
  </si>
  <si>
    <t>Jacky, Servicio al cliente b, TRANEXPA</t>
  </si>
  <si>
    <t>4000</t>
  </si>
  <si>
    <t>CAT-058</t>
  </si>
  <si>
    <t>5.4</t>
  </si>
  <si>
    <t>Productividad cabezales IPH</t>
  </si>
  <si>
    <t>3800</t>
  </si>
  <si>
    <t>CAT-059</t>
  </si>
  <si>
    <t>5.5.1</t>
  </si>
  <si>
    <t>Productividad cabezales Tranexpa Particulares.</t>
  </si>
  <si>
    <t>3500</t>
  </si>
  <si>
    <t>CAT-060</t>
  </si>
  <si>
    <t>5.5.2</t>
  </si>
  <si>
    <t>Productividad cabezales Ponce</t>
  </si>
  <si>
    <t>CAT-061</t>
  </si>
  <si>
    <t>5.5.3</t>
  </si>
  <si>
    <t>Productividad cabezales Moreno</t>
  </si>
  <si>
    <t>CAT-062</t>
  </si>
  <si>
    <t>5.5.4</t>
  </si>
  <si>
    <t>Productividad cabezales Obregon</t>
  </si>
  <si>
    <t>CAT-063</t>
  </si>
  <si>
    <t>5.5.5</t>
  </si>
  <si>
    <t>Productividad cabezales San Lorenzo</t>
  </si>
  <si>
    <t>CAT-064</t>
  </si>
  <si>
    <t>5.5.6</t>
  </si>
  <si>
    <t>Productividad cabezales Sinai</t>
  </si>
  <si>
    <t>CAT-065</t>
  </si>
  <si>
    <t>5.6</t>
  </si>
  <si>
    <t>Aprovechamiento GPS</t>
  </si>
  <si>
    <t>David Molina, Keila</t>
  </si>
  <si>
    <t>0.9</t>
  </si>
  <si>
    <t>CAT-066</t>
  </si>
  <si>
    <t>5.7</t>
  </si>
  <si>
    <t>Dias de facturacion</t>
  </si>
  <si>
    <t>días</t>
  </si>
  <si>
    <t>Yadira</t>
  </si>
  <si>
    <t>CAT-067</t>
  </si>
  <si>
    <t>5.8</t>
  </si>
  <si>
    <t>Aumentar kms EXA</t>
  </si>
  <si>
    <t>506974.68</t>
  </si>
  <si>
    <t>CAT-068</t>
  </si>
  <si>
    <t>Aumentar el ROA</t>
  </si>
  <si>
    <t>Financial Ratios</t>
  </si>
  <si>
    <t>Cecilia, Compras, Hoja1, Hoja3, Julio - Alejandro, Nancy Garcia b (4), Tesoreria</t>
  </si>
  <si>
    <t>CAT-069</t>
  </si>
  <si>
    <t>6.1</t>
  </si>
  <si>
    <t>Aumentar Rotación de inventario.</t>
  </si>
  <si>
    <t>Compras / Inventario</t>
  </si>
  <si>
    <t>Cecilia, Compras, Nancy Garcia b (4), Tesoreria</t>
  </si>
  <si>
    <t>CAT-070</t>
  </si>
  <si>
    <t>6.2</t>
  </si>
  <si>
    <t>Disminuir a 5% el desuso de los chasis (equipos con mas de 30 dias en las yardas)</t>
  </si>
  <si>
    <t>Julio - Alejandro, Nancy Garcia b (4)</t>
  </si>
  <si>
    <t>CAT-071</t>
  </si>
  <si>
    <t>6.2.1</t>
  </si>
  <si>
    <t>Disminuir a 5% el desuso de los equipos Puerto Cortés (equipos con mas de 30 dias en yarda)</t>
  </si>
  <si>
    <t>Equipos</t>
  </si>
  <si>
    <t>Semántica o dirección de evaluación ambigua. El texto expresa una meta porcentual, pero la unidad/Goal fuente parecen conteo o valor absoluto.</t>
  </si>
  <si>
    <t>30</t>
  </si>
  <si>
    <t>CAT-072</t>
  </si>
  <si>
    <t>6.2.2</t>
  </si>
  <si>
    <t>Disminuir a 1% el desuso de los equipos San Lorenzo (equipos con mas de 30 dias en yarda)</t>
  </si>
  <si>
    <t>CAT-073</t>
  </si>
  <si>
    <t>6.4</t>
  </si>
  <si>
    <t>No exceder a 5 equipos en desuso generadores</t>
  </si>
  <si>
    <t>generadores</t>
  </si>
  <si>
    <t>CAT-074</t>
  </si>
  <si>
    <t>6.5</t>
  </si>
  <si>
    <t>Disminuir a 0-1 el desuso de cabezales propios</t>
  </si>
  <si>
    <t>cabezales</t>
  </si>
  <si>
    <t>Cumple si el conteo está dentro del máximo permitido (0–1); definir tratamiento exacto por encima del límite.</t>
  </si>
  <si>
    <t>cabezal</t>
  </si>
  <si>
    <t>CAT-075</t>
  </si>
  <si>
    <t>7</t>
  </si>
  <si>
    <t>Disminuir el D/E</t>
  </si>
  <si>
    <t>CAT-076</t>
  </si>
  <si>
    <t>7.1</t>
  </si>
  <si>
    <t>Rotación de cuentas por cobrar.</t>
  </si>
  <si>
    <t>Julio - Alejandro, Nancy Garcia b (4), Tesoreria</t>
  </si>
  <si>
    <t>CAT-077</t>
  </si>
  <si>
    <t>7.2</t>
  </si>
  <si>
    <t>95% de clientes activos dentro del periodo de recuperacion</t>
  </si>
  <si>
    <t>DERIVED_COMPLIANCE_PERCENT</t>
  </si>
  <si>
    <t>Nancy Garcia b (4)</t>
  </si>
  <si>
    <t>Document the raw-data calculation that produces the percentage Result before applying scoring.</t>
  </si>
  <si>
    <t>What is the denominator/population, what records are excluded, what is the raw formula, and how are boundary values treated?</t>
  </si>
  <si>
    <t>YES - derived formula must be defined</t>
  </si>
  <si>
    <t>CAT-078</t>
  </si>
  <si>
    <t>Innovaciones estratégicas de sistemas de Impacto recurrente</t>
  </si>
  <si>
    <t>BINARY_OR_MILESTONE</t>
  </si>
  <si>
    <t>estado / hito</t>
  </si>
  <si>
    <t>Definir estados/hitos y porcentaje de cumplimiento por hito.</t>
  </si>
  <si>
    <t>Digital Initiatives</t>
  </si>
  <si>
    <t>David Molina, Desarrollo, Hoja1, Hoja3</t>
  </si>
  <si>
    <t>0 | SW Implementado</t>
  </si>
  <si>
    <t>CAT-079</t>
  </si>
  <si>
    <t>8.1</t>
  </si>
  <si>
    <t>Integracion EMS - Hapag-Lloyd</t>
  </si>
  <si>
    <t>FEATURE / MILESTONE</t>
  </si>
  <si>
    <t>Falta definir formalmente estados/hitos y scoring Binary/Milestone.</t>
  </si>
  <si>
    <t>Decide whether this is BINARY or MILESTONE-based, then define the allowed states/milestones and their Compliance mapping.</t>
  </si>
  <si>
    <t>Is success only Completed/Not Completed, or are intermediate milestones valid? What Compliance % maps to each state?</t>
  </si>
  <si>
    <t>CAT-080</t>
  </si>
  <si>
    <t>8.10</t>
  </si>
  <si>
    <t>Depot - EMS</t>
  </si>
  <si>
    <t>CAT-081</t>
  </si>
  <si>
    <t>8.11</t>
  </si>
  <si>
    <t>Multireport</t>
  </si>
  <si>
    <t>CAT-082</t>
  </si>
  <si>
    <t>8.2</t>
  </si>
  <si>
    <t>Integracion EMS - GPS</t>
  </si>
  <si>
    <t>CAT-083</t>
  </si>
  <si>
    <t>8.3</t>
  </si>
  <si>
    <t>Integracion EMS - SAP</t>
  </si>
  <si>
    <t>CAT-084</t>
  </si>
  <si>
    <t>8.4</t>
  </si>
  <si>
    <t>Integracion EMS - Gasolinera</t>
  </si>
  <si>
    <t>CAT-085</t>
  </si>
  <si>
    <t>8.5</t>
  </si>
  <si>
    <t>Planilla de motorista</t>
  </si>
  <si>
    <t>CAT-086</t>
  </si>
  <si>
    <t>8.6</t>
  </si>
  <si>
    <t>Reset Module</t>
  </si>
  <si>
    <t>CAT-087</t>
  </si>
  <si>
    <t>8.7</t>
  </si>
  <si>
    <t>Add on SAP</t>
  </si>
  <si>
    <t>CAT-088</t>
  </si>
  <si>
    <t>8.8</t>
  </si>
  <si>
    <t>Multilanguage</t>
  </si>
  <si>
    <t>CAT-089</t>
  </si>
  <si>
    <t>8.9</t>
  </si>
  <si>
    <t>Multicompany</t>
  </si>
  <si>
    <t>Source Sheet</t>
  </si>
  <si>
    <t>Source Row</t>
  </si>
  <si>
    <t>Source Department</t>
  </si>
  <si>
    <t>Source Collaborator</t>
  </si>
  <si>
    <t>Original KPI Description</t>
  </si>
  <si>
    <t>Original Unit</t>
  </si>
  <si>
    <t>Original Goal</t>
  </si>
  <si>
    <t>Original Result</t>
  </si>
  <si>
    <t>Original Weight</t>
  </si>
  <si>
    <t>1.2 Lograr meta de contenedores</t>
  </si>
  <si>
    <t>1.6 Alquileres de contenedores secos (solo o en combos CONMOXA)</t>
  </si>
  <si>
    <t>1.4 Lograr meta de ventas en alquileres de contenedores reefer (solo o en combo)</t>
  </si>
  <si>
    <t>1.3  Lograr  meta de ventas contenedores secos  y modificados(dolares)</t>
  </si>
  <si>
    <t>2.5     Aumentar Margen neto en venta de contenedores (modificados y secos)</t>
  </si>
  <si>
    <t>2.6     Aumento en 20% en margen de contribución bruta venta de contenedores</t>
  </si>
  <si>
    <t>1.10 Aumentar ventas en articulos Sejue/get504</t>
  </si>
  <si>
    <t>2.8     Aumento en 20% en margen de contribución bruta alquiler de reefers.</t>
  </si>
  <si>
    <t>2.7     Aumento en 20% en margen de contribución bruta alquiler de bodegas</t>
  </si>
  <si>
    <t>Nancy Garcia</t>
  </si>
  <si>
    <t>4. Aumentar clima laboral</t>
  </si>
  <si>
    <t>Mario</t>
  </si>
  <si>
    <t>Sistemas_Y_Procesos</t>
  </si>
  <si>
    <t>Mario Murillo</t>
  </si>
  <si>
    <t>2.1     Reducir gasto administrativo x%</t>
  </si>
  <si>
    <t>Cecilia</t>
  </si>
  <si>
    <t>Compras</t>
  </si>
  <si>
    <t>Tesoreria</t>
  </si>
  <si>
    <t>3.5     Multas ambientales y fiscales.</t>
  </si>
  <si>
    <t>Abner Urbina</t>
  </si>
  <si>
    <t>Abner U b</t>
  </si>
  <si>
    <t>6.1     Aumentar Rotación de inventario.</t>
  </si>
  <si>
    <t>7.1     Rotación de cuentas por cobrar.</t>
  </si>
  <si>
    <t>7.2     95% de clientes activos dentro del periodo de recuperacion</t>
  </si>
  <si>
    <t>2.3     Reducir Costo por km cabezales propios.</t>
  </si>
  <si>
    <t>5.2     Productividad cabezales Flota Nueva</t>
  </si>
  <si>
    <t>Jacky</t>
  </si>
  <si>
    <t>Servicio_Al_Cliente</t>
  </si>
  <si>
    <t>Jacky Mena</t>
  </si>
  <si>
    <t>Servicio al cliente b</t>
  </si>
  <si>
    <t>6.2     Disminuir a 5% el desuso de los chasis (equipos con mas de 30 dias en las yardas)</t>
  </si>
  <si>
    <t>6.5 Disminuir a 0-1 el desuso de cabezales propios</t>
  </si>
  <si>
    <t>7. Disminuir el D/E</t>
  </si>
  <si>
    <t>6. Aumentar el ROA</t>
  </si>
  <si>
    <t>3.6    Cierres contables a mas tardar el 6 de cada mes</t>
  </si>
  <si>
    <t>1.8 Aumentar ventas en TREXA</t>
  </si>
  <si>
    <t>David Molina</t>
  </si>
  <si>
    <t>SistemasYProcesos</t>
  </si>
  <si>
    <t>3. Cero incidentes mayores de seguridad y sostenibilidad</t>
  </si>
  <si>
    <t>Yadira Reyes</t>
  </si>
  <si>
    <t>Keila Rodriguez</t>
  </si>
  <si>
    <t>Lorenzo Varela</t>
  </si>
  <si>
    <t>Predio_Puerto_Cortes</t>
  </si>
  <si>
    <t>Puerto Cortes</t>
  </si>
  <si>
    <t>Cubillo</t>
  </si>
  <si>
    <t>Predio_San_Lorenzo</t>
  </si>
  <si>
    <t>Juan Cubillo</t>
  </si>
  <si>
    <t>San Lorenzo b</t>
  </si>
  <si>
    <t># Incidente</t>
  </si>
  <si>
    <t>8. Innovaciones estratégicas de sistemas de Impacto recurrente</t>
  </si>
  <si>
    <t>Desarrollo</t>
  </si>
  <si>
    <t>SW Implementado</t>
  </si>
  <si>
    <t>5.6 Aprovechamiento GPS</t>
  </si>
  <si>
    <t>5. Productividad</t>
  </si>
  <si>
    <t>2.21  Aumentar % neto del servicio de transporte</t>
  </si>
  <si>
    <t>5.7 Dias de facturacion</t>
  </si>
  <si>
    <t>1.9 Aumento en ventas de GPS a terceros (nuevos clientes)</t>
  </si>
  <si>
    <t>Roy Reyes</t>
  </si>
  <si>
    <t>2.12   Costo por mes por GPS (Costo de plataforma + Tigo/claro + otros costos)</t>
  </si>
  <si>
    <t>10. CONMOXA</t>
  </si>
  <si>
    <t>1.5 Aumentar Rentas bienes y raices</t>
  </si>
  <si>
    <t>5.11 # de fallas operativas adjudicables al predio (Incluye rescates, rechazos) Puerto Cortes</t>
  </si>
  <si>
    <t>2.17   Reducir costo por km/cabezal TRANEXPA</t>
  </si>
  <si>
    <t>3.7 Cero accidente mayores Y/O robos TRANEXPA</t>
  </si>
  <si>
    <t>5.10  Aumentar kms TRANEXPA</t>
  </si>
  <si>
    <t>5.3     Productividad cabezales  TRANEXPA</t>
  </si>
  <si>
    <t>2.22 Aumentar margen neto alquiler de contenedores secos (solo o en combo) TREXA</t>
  </si>
  <si>
    <t>1.17 Aumentar el numero de cliente semestralmente</t>
  </si>
  <si>
    <t>3.6.1 Cierre TREXA</t>
  </si>
  <si>
    <t>5.16 # de notas de credito mensuales</t>
  </si>
  <si>
    <t>2.2     Reducir costo de M&amp;R  de chasis propios</t>
  </si>
  <si>
    <t>1.14 Incrementar gate out de contenedores  Puerto Cortés</t>
  </si>
  <si>
    <t>2.9     Reducir Costo administrativo Puerto Cortés con relacion al año anterior</t>
  </si>
  <si>
    <t>2.13    Reducir Costo de M&amp;R por contenedor Puerto Cortes</t>
  </si>
  <si>
    <t>2.14   Reducir costo máquinas (incluye mulita y containers handler) Puerto Cortes</t>
  </si>
  <si>
    <t>2.18 Reducir M&amp;R gensets $ /genset activo 10%</t>
  </si>
  <si>
    <t>6.2.1     Disminuir a 5% el desuso de los equipos Puerto Cortés (equipos con mas de 30 dias en yarda)</t>
  </si>
  <si>
    <t>6.4 No exceder a 5 equipos en desuso generadores</t>
  </si>
  <si>
    <t>1.13 Aumentar servicio de almacenamiento y M&amp;R San Lorenzo</t>
  </si>
  <si>
    <t>2.11   Gasto administrativo San Lorenzo</t>
  </si>
  <si>
    <t>2.15    Aumentar margen de M&amp;R por contenedor San Lorenzo</t>
  </si>
  <si>
    <t>5.15  # de fallas operativas adjudicables al predio (Incluye rescates, rechazos) San Lorenzo</t>
  </si>
  <si>
    <t>2.16   Reducir costo máquinas (incluye mulita y containers handler) San Lorenzo</t>
  </si>
  <si>
    <t>6.2.2     Disminuir a 1% el desuso de los equipos San Lorenzo (equipos con mas de 30 dias en yarda)</t>
  </si>
  <si>
    <t>1.7 Lograr ventas de gasolinera de galones</t>
  </si>
  <si>
    <t>1.11 Tienda de conveniencia (Primeros 4 meses 15k usd y 25k usd)</t>
  </si>
  <si>
    <t>2.19 Gasto administrativo gasolinera 3%/ventas</t>
  </si>
  <si>
    <t>2.21 Margen operativo de la gasolinera</t>
  </si>
  <si>
    <t>2.20 Margen operativo de tienda</t>
  </si>
  <si>
    <t>3.9 On time delivery without sevice incidents</t>
  </si>
  <si>
    <t>5.12  Aumentar # de viajes de EXA</t>
  </si>
  <si>
    <t>5.1     Productividad kms/cabezal/mes.</t>
  </si>
  <si>
    <t>5.4     Productividad cabezales  IPH</t>
  </si>
  <si>
    <t>5.5.1     Productividad cabezales Tranexpa Particulares.</t>
  </si>
  <si>
    <t>5.5.2     Productividad cabezales Ponce</t>
  </si>
  <si>
    <t>5.5.4     Productividad cabezales Obregon</t>
  </si>
  <si>
    <t>5.5.3     Productividad cabezales Moreno</t>
  </si>
  <si>
    <t>5.5.5     Productividad cabezales San Lorenzo</t>
  </si>
  <si>
    <t>5.5.6     Productividad cabezales Sinai</t>
  </si>
  <si>
    <t>3.8  Aumentar satisfaccion al cliente</t>
  </si>
  <si>
    <t>5.13 Aumenar promedio de kms/viaje</t>
  </si>
  <si>
    <t>5.8  Aumentar kms EXA</t>
  </si>
  <si>
    <t>1. Aumentar ventas  en el año 2023 del Grupo EXA (EXA, CONMOXA, AXA, TREXA, SAN JORGE) en  10% en USD vs año 2022.</t>
  </si>
  <si>
    <t>Legacy source formula error</t>
  </si>
  <si>
    <t>2. Aumentar margen neto vrs año anterior</t>
  </si>
  <si>
    <t>1. Aumentar ventas en:</t>
  </si>
  <si>
    <t>2. Aumentar margen neto</t>
  </si>
  <si>
    <t>8.1     Integracion EMS - Hapag-Lloyd</t>
  </si>
  <si>
    <t>8.2     Integracion EMS - GPS</t>
  </si>
  <si>
    <t>8.3     Integracion EMS - SAP</t>
  </si>
  <si>
    <t>8.4     Integracion EMS - Gasolinera</t>
  </si>
  <si>
    <t>8.5     Planilla de motorista</t>
  </si>
  <si>
    <t>8.6     Reset Module</t>
  </si>
  <si>
    <t>8.7     Add on SAP</t>
  </si>
  <si>
    <t>8.8     Multilanguage</t>
  </si>
  <si>
    <t>8.9     Multicompany</t>
  </si>
  <si>
    <t>8.10     Depot - EMS</t>
  </si>
  <si>
    <t>8.11     Multireport</t>
  </si>
  <si>
    <t>Scoring Method</t>
  </si>
  <si>
    <t>Confidence</t>
  </si>
  <si>
    <t>Business Review</t>
  </si>
  <si>
    <t>NO</t>
  </si>
  <si>
    <t>EQUAL_IS_BETTER</t>
  </si>
  <si>
    <t>RANGE</t>
  </si>
  <si>
    <t>TOLERANCE_OR_THRESHOLD</t>
  </si>
  <si>
    <t>REJECTED / NEEDS_REDEFINITION</t>
  </si>
  <si>
    <t>Operational Reliability</t>
  </si>
  <si>
    <t>RANGE_BASED</t>
  </si>
  <si>
    <t>KPI Evaluation Catalog — What We Need to Change</t>
  </si>
  <si>
    <t>This sheet separates blocking business decisions from simple approvals. The catalog remains PROPOSED until the business confirms the rule.</t>
  </si>
  <si>
    <t>Catalog rows</t>
  </si>
  <si>
    <t>Blocked rows</t>
  </si>
  <si>
    <t>High-confidence proposed</t>
  </si>
  <si>
    <t>Need semantic review</t>
  </si>
  <si>
    <t>Unit needs review</t>
  </si>
  <si>
    <t>Zero-target rules</t>
  </si>
  <si>
    <t>Feature/Milestone</t>
  </si>
  <si>
    <t>Priority</t>
  </si>
  <si>
    <t>Change Area</t>
  </si>
  <si>
    <t>Affected Rows</t>
  </si>
  <si>
    <t>What We Need to Change</t>
  </si>
  <si>
    <t>Decision / Question to Business</t>
  </si>
  <si>
    <t>Why It Matters</t>
  </si>
  <si>
    <t>Blocks Production Scoring?</t>
  </si>
  <si>
    <t>Recommended Owner</t>
  </si>
  <si>
    <t>P0</t>
  </si>
  <si>
    <t>Blocked KPI definitions</t>
  </si>
  <si>
    <t>Resolve ambiguous Result Semantics, units, Evaluation Type and/or Scoring Method before production use.</t>
  </si>
  <si>
    <t>For each BLOCKED KPI, define exactly what Result means and how Goal + Result becomes Compliance.</t>
  </si>
  <si>
    <t>A wrong interpretation can invert the score or produce mathematically invalid results.</t>
  </si>
  <si>
    <t>Business owner + Processes</t>
  </si>
  <si>
    <t>Zero Target KPIs</t>
  </si>
  <si>
    <t>Define bands per KPI instead of using a universal formula.</t>
  </si>
  <si>
    <t>What Compliance corresponds to 0, 1, 2, 3+ occurrences? Are any events immediately critical?</t>
  </si>
  <si>
    <t>Goal = 0 cannot use Goal/Result and different incident KPIs have different severity.</t>
  </si>
  <si>
    <t>Safety/Risk owner + Processes</t>
  </si>
  <si>
    <t>Measurement units marked REVIEW</t>
  </si>
  <si>
    <t>Normalize the unit stored/displayed for Result.</t>
  </si>
  <si>
    <t>Is Result USD, %, count, rate, days, km/head/month, etc.?</t>
  </si>
  <si>
    <t>Unit ambiguity makes validation, Excel import and scoring unreliable.</t>
  </si>
  <si>
    <t>KPI owner</t>
  </si>
  <si>
    <t>P1</t>
  </si>
  <si>
    <t>Feature / Milestone rows</t>
  </si>
  <si>
    <t>Separate BINARY from MILESTONE behavior and define allowed states.</t>
  </si>
  <si>
    <t>Is it Completed/Not Completed only, or are intermediate milestones allowed? Map each state to Compliance.</t>
  </si>
  <si>
    <t>Project-style KPIs cannot safely use proportional numeric scoring.</t>
  </si>
  <si>
    <t>Project owner + Processes</t>
  </si>
  <si>
    <t>Threshold-based KPIs</t>
  </si>
  <si>
    <t>Confirm exact threshold boundaries, inclusivity and behavior outside the accepted threshold.</t>
  </si>
  <si>
    <t>Does meeting the threshold give 100%? How is a miss penalized? Are boundaries inclusive?</t>
  </si>
  <si>
    <t>Ambiguous thresholds lead to inconsistent scoring at boundary values.</t>
  </si>
  <si>
    <t>Business owner</t>
  </si>
  <si>
    <t>Derived percentage KPIs</t>
  </si>
  <si>
    <t>Document the raw-data formula that produces Result before scoring.</t>
  </si>
  <si>
    <t>Define population/denominator, exclusions, boundary behavior and source data.</t>
  </si>
  <si>
    <t>Scoring may be simple Greater/Proportional, but the Result itself must be reproducible.</t>
  </si>
  <si>
    <t>Operational owner + Data/Systems</t>
  </si>
  <si>
    <t>Medium-confidence proposed KPIs</t>
  </si>
  <si>
    <t>Confirm Result Semantics and Goal interpretation before approval.</t>
  </si>
  <si>
    <t>Does Result represent the raw value, achieved change %, compliance %, rate, count, etc.?</t>
  </si>
  <si>
    <t>Keywords such as 'Reducir' can be misleading if Result is '% reduction achieved'.</t>
  </si>
  <si>
    <t>P2</t>
  </si>
  <si>
    <t>High-confidence proposed KPIs</t>
  </si>
  <si>
    <t>Formal business approval; normalize naming and unit variants where needed.</t>
  </si>
  <si>
    <t>Confirm the proposed Category, Owner, Result Semantics, Goal, Evaluation Type and Scoring Method.</t>
  </si>
  <si>
    <t>These are technically plausible but still not official business rules.</t>
  </si>
  <si>
    <t>NO - approval only</t>
  </si>
  <si>
    <t>P3</t>
  </si>
  <si>
    <t>Parent / Scorecard aggregate rows</t>
  </si>
  <si>
    <t>Exclude from atomic KPI scoring; retain only as grouping or aggregate output when useful.</t>
  </si>
  <si>
    <t>Confirm the row is not expected to receive its own Result/Goal independently.</t>
  </si>
  <si>
    <t>Scoring aggregate rows again would double-count performance.</t>
  </si>
  <si>
    <t>Processes / System design</t>
  </si>
  <si>
    <t>Repeated KPI families</t>
  </si>
  <si>
    <t>Review by family</t>
  </si>
  <si>
    <t>Decide which repeated rows are one KPI Definition with multiple Configurations/scopes rather than separate Definitions.</t>
  </si>
  <si>
    <t>For repeated productivity/cost/sales patterns, which fields are truly the same definition and which only differ by scope/goal?</t>
  </si>
  <si>
    <t>Reduces duplicated definitions and makes the catalog reusable.</t>
  </si>
  <si>
    <t>NO - structural quality</t>
  </si>
  <si>
    <t>Processes + KPI owner</t>
  </si>
  <si>
    <t>Goal representation / percentages</t>
  </si>
  <si>
    <t>Review % rows</t>
  </si>
  <si>
    <t>Normalize whether percentages are stored as 0.10 or 10 and document the canonical API/DB representation.</t>
  </si>
  <si>
    <t>Will 10% be stored as 0.10 or 10.00? Apply one convention across Goal, Result and thresholds.</t>
  </si>
  <si>
    <t>Prevents 100x scoring/import errors.</t>
  </si>
  <si>
    <t>Development + Processes</t>
  </si>
  <si>
    <t>Approval metadata</t>
  </si>
  <si>
    <t>All rows</t>
  </si>
  <si>
    <t>Add approved_by, approved_at and business note when a KPI is promoted to APPROVED.</t>
  </si>
  <si>
    <t>Who approved the rule and when?</t>
  </si>
  <si>
    <t>Provides auditability and a trustworthy future RAG/test dataset.</t>
  </si>
  <si>
    <t>Processes / Governance</t>
  </si>
  <si>
    <t>Recommended order: P0 blockers → P1 rule definitions/business confirmations → P2 formal approvals → P3 structural cleanup.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</si>
</sst>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"/>
  </numFmts>
  <fonts count="7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375623"/>
      <name val="Carlito"/>
    </font>
    <font>
      <b/>
      <sz val="11"/>
      <color rgb="FFFFFFFF"/>
      <name val="Carlito"/>
    </font>
    <font>
      <sz val="11"/>
      <color rgb="FF17365D"/>
      <name val="Carlito"/>
    </font>
    <font>
      <b/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3F6F9"/>
      </patternFill>
    </fill>
    <fill>
      <patternFill patternType="solid">
        <fgColor rgb="FF4472C4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vertical="top" wrapText="1"/>
    </xf>
    <xf numFmtId="0" fontId="2" fillId="5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wrapText="1"/>
    </xf>
    <xf numFmtId="0" fontId="6" fillId="7" borderId="0" xfId="0" applyFont="1" applyFill="1" applyAlignment="1">
      <alignment horizontal="center" wrapText="1"/>
    </xf>
    <xf numFmtId="0" fontId="4" fillId="8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 wrapText="1"/>
    </xf>
    <xf numFmtId="0" fontId="4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wrapText="1"/>
    </xf>
    <xf numFmtId="0" fontId="2" fillId="9" borderId="0" xfId="0" applyFont="1" applyFill="1" applyAlignment="1">
      <alignment wrapText="1"/>
    </xf>
  </cellXfs>
  <cellStyles count="1">
    <cellStyle name="Normal" xfId="0" builtinId="0"/>
  </cellStyles>
  <dxfs count="19">
    <dxf>
      <font>
        <b/>
        <color rgb="FF595959"/>
      </font>
      <fill>
        <patternFill patternType="solid">
          <bgColor rgb="FFE7E6E6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95959"/>
      </font>
      <fill>
        <patternFill patternType="solid">
          <bgColor rgb="FFE7E6E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DE2E1"/>
        </patternFill>
      </fill>
    </dxf>
    <dxf>
      <fill>
        <patternFill>
          <bgColor rgb="FFFCE8E6"/>
        </patternFill>
      </fill>
    </dxf>
    <dxf>
      <font>
        <b/>
        <color rgb="FFB91C1C"/>
      </font>
      <fill>
        <patternFill>
          <bgColor rgb="FFFCE8E6"/>
        </patternFill>
      </fill>
    </dxf>
    <dxf>
      <font>
        <b/>
        <color rgb="FF595959"/>
      </font>
      <fill>
        <patternFill patternType="solid">
          <bgColor rgb="FFE7E6E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DE2E1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4CC"/>
        </patternFill>
      </fill>
    </dxf>
    <dxf>
      <font>
        <b/>
        <color rgb="FFB91C1C"/>
      </font>
      <fill>
        <patternFill>
          <bgColor rgb="FFFCE8E6"/>
        </patternFill>
      </fill>
    </dxf>
    <dxf>
      <fill>
        <patternFill>
          <bgColor rgb="FFFCE8E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piEvaluationCatalog" displayName="KpiEvaluationCatalog" ref="A1:Z90" totalsRowShown="0">
  <tableColumns count="26">
    <tableColumn id="1" xr3:uid="{00000000-0010-0000-0000-000001000000}" name="Catalog ID"/>
    <tableColumn id="2" xr3:uid="{00000000-0010-0000-0000-000002000000}" name="Legacy Code"/>
    <tableColumn id="3" xr3:uid="{00000000-0010-0000-0000-000003000000}" name="KPI Name / Original"/>
    <tableColumn id="4" xr3:uid="{00000000-0010-0000-0000-000004000000}" name="Row Type"/>
    <tableColumn id="5" xr3:uid="{00000000-0010-0000-0000-000005000000}" name="Category (Proposed)"/>
    <tableColumn id="6" xr3:uid="{00000000-0010-0000-0000-000006000000}" name="Primary Owner (Proposed)"/>
    <tableColumn id="7" xr3:uid="{00000000-0010-0000-0000-000007000000}" name="Result Semantics"/>
    <tableColumn id="8" xr3:uid="{00000000-0010-0000-0000-000008000000}" name="Measurement Unit (Proposed)"/>
    <tableColumn id="9" xr3:uid="{00000000-0010-0000-0000-000009000000}" name="Goal Example"/>
    <tableColumn id="10" xr3:uid="{00000000-0010-0000-0000-00000A000000}" name="Evaluation Type (Proposed)"/>
    <tableColumn id="11" xr3:uid="{00000000-0010-0000-0000-00000B000000}" name="Scoring Method (Proposed)"/>
    <tableColumn id="12" xr3:uid="{00000000-0010-0000-0000-00000C000000}" name="Special Rule / Rationale"/>
    <tableColumn id="13" xr3:uid="{00000000-0010-0000-0000-00000D000000}" name="Example Result (Source)"/>
    <tableColumn id="14" xr3:uid="{00000000-0010-0000-0000-00000E000000}" name="Illustrative Raw Achievement %"/>
    <tableColumn id="15" xr3:uid="{00000000-0010-0000-0000-00000F000000}" name="Illustrative Compliance % (cap 100)"/>
    <tableColumn id="16" xr3:uid="{00000000-0010-0000-0000-000010000000}" name="Classification Confidence"/>
    <tableColumn id="17" xr3:uid="{00000000-0010-0000-0000-000011000000}" name="Catalog Status"/>
    <tableColumn id="18" xr3:uid="{00000000-0010-0000-0000-000012000000}" name="Business Review Required"/>
    <tableColumn id="19" xr3:uid="{00000000-0010-0000-0000-000013000000}" name="Review Reason"/>
    <tableColumn id="20" xr3:uid="{00000000-0010-0000-0000-000014000000}" name="KPI Family"/>
    <tableColumn id="21" xr3:uid="{00000000-0010-0000-0000-000015000000}" name="Source Department(s)"/>
    <tableColumn id="22" xr3:uid="{00000000-0010-0000-0000-000016000000}" name="Source Sheet(s)"/>
    <tableColumn id="23" xr3:uid="{00000000-0010-0000-0000-000017000000}" name="Occurrences"/>
    <tableColumn id="24" xr3:uid="{00000000-0010-0000-0000-000018000000}" name="Original Unit Variant(s)"/>
    <tableColumn id="25" xr3:uid="{00000000-0010-0000-0000-000019000000}" name="Goal Variant(s)"/>
    <tableColumn id="26" xr3:uid="{00000000-0010-0000-0000-00001A000000}" name="Calculation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piReviewQueue" displayName="KpiReviewQueue" ref="A1:O52" totalsRowShown="0">
  <tableColumns count="15">
    <tableColumn id="1" xr3:uid="{00000000-0010-0000-0100-000001000000}" name="Catalog ID"/>
    <tableColumn id="2" xr3:uid="{00000000-0010-0000-0100-000002000000}" name="Legacy Code"/>
    <tableColumn id="3" xr3:uid="{00000000-0010-0000-0100-000003000000}" name="KPI Name / Original"/>
    <tableColumn id="4" xr3:uid="{00000000-0010-0000-0100-000004000000}" name="Row Type"/>
    <tableColumn id="5" xr3:uid="{00000000-0010-0000-0100-000005000000}" name="Category (Proposed)"/>
    <tableColumn id="6" xr3:uid="{00000000-0010-0000-0100-000006000000}" name="Primary Owner (Proposed)"/>
    <tableColumn id="7" xr3:uid="{00000000-0010-0000-0100-000007000000}" name="Result Semantics"/>
    <tableColumn id="8" xr3:uid="{00000000-0010-0000-0100-000008000000}" name="Measurement Unit (Proposed)"/>
    <tableColumn id="9" xr3:uid="{00000000-0010-0000-0100-000009000000}" name="Goal Example"/>
    <tableColumn id="10" xr3:uid="{00000000-0010-0000-0100-00000A000000}" name="Evaluation Type (Proposed)"/>
    <tableColumn id="11" xr3:uid="{00000000-0010-0000-0100-00000B000000}" name="Scoring Method (Proposed)"/>
    <tableColumn id="12" xr3:uid="{00000000-0010-0000-0100-00000C000000}" name="Catalog Status"/>
    <tableColumn id="13" xr3:uid="{00000000-0010-0000-0100-00000D000000}" name="Classification Confidence"/>
    <tableColumn id="14" xr3:uid="{00000000-0010-0000-0100-00000E000000}" name="Review Reason"/>
    <tableColumn id="15" xr3:uid="{00000000-0010-0000-0100-00000F000000}" name="Source Sheet(s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KpiSourceOccurrences" displayName="KpiSourceOccurrences" ref="A1:J218" totalsRowShown="0">
  <tableColumns count="10">
    <tableColumn id="1" xr3:uid="{00000000-0010-0000-0200-000001000000}" name="Catalog ID"/>
    <tableColumn id="2" xr3:uid="{00000000-0010-0000-0200-000002000000}" name="Source Sheet"/>
    <tableColumn id="3" xr3:uid="{00000000-0010-0000-0200-000003000000}" name="Source Row"/>
    <tableColumn id="4" xr3:uid="{00000000-0010-0000-0200-000004000000}" name="Source Department"/>
    <tableColumn id="5" xr3:uid="{00000000-0010-0000-0200-000005000000}" name="Source Collaborator"/>
    <tableColumn id="6" xr3:uid="{00000000-0010-0000-0200-000006000000}" name="Original KPI Description"/>
    <tableColumn id="7" xr3:uid="{00000000-0010-0000-0200-000007000000}" name="Original Unit"/>
    <tableColumn id="8" xr3:uid="{00000000-0010-0000-0200-000008000000}" name="Original Goal"/>
    <tableColumn id="9" xr3:uid="{00000000-0010-0000-0200-000009000000}" name="Original Result"/>
    <tableColumn id="10" xr3:uid="{00000000-0010-0000-0200-00000A000000}" name="Original W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sqref="A1:H1"/>
    </sheetView>
  </sheetViews>
  <sheetFormatPr baseColWidth="10" defaultColWidth="9" defaultRowHeight="14.25"/>
  <cols>
    <col min="1" max="3" width="20" customWidth="1"/>
    <col min="4" max="8" width="22" customWidth="1"/>
  </cols>
  <sheetData>
    <row r="1" spans="1:8" ht="27.95" customHeight="1">
      <c r="A1" s="13" t="s">
        <v>0</v>
      </c>
      <c r="B1" s="13"/>
      <c r="C1" s="13"/>
      <c r="D1" s="13"/>
      <c r="E1" s="13"/>
      <c r="F1" s="13"/>
      <c r="G1" s="13"/>
      <c r="H1" s="13"/>
    </row>
    <row r="2" spans="1:8">
      <c r="A2" s="3"/>
      <c r="B2" s="3"/>
      <c r="C2" s="3"/>
      <c r="D2" s="3"/>
      <c r="E2" s="3"/>
      <c r="F2" s="3"/>
      <c r="G2" s="3"/>
      <c r="H2" s="3"/>
    </row>
    <row r="3" spans="1:8" ht="15">
      <c r="A3" s="4" t="s">
        <v>1</v>
      </c>
      <c r="B3" s="4" t="s">
        <v>2</v>
      </c>
      <c r="C3" s="5"/>
      <c r="D3" s="4" t="s">
        <v>3</v>
      </c>
      <c r="E3" s="4" t="s">
        <v>4</v>
      </c>
      <c r="F3" s="5"/>
      <c r="G3" s="4" t="s">
        <v>5</v>
      </c>
      <c r="H3" s="4" t="s">
        <v>4</v>
      </c>
    </row>
    <row r="4" spans="1:8">
      <c r="A4" s="5" t="s">
        <v>6</v>
      </c>
      <c r="B4" s="8">
        <f>COUNTA('KPI Catalog'!A2:A200)</f>
        <v>89</v>
      </c>
      <c r="C4" s="5"/>
      <c r="D4" s="5" t="s">
        <v>7</v>
      </c>
      <c r="E4" s="8">
        <f>COUNTIF('KPI Catalog'!J2:J200,"GREATER_IS_BETTER")</f>
        <v>48</v>
      </c>
      <c r="F4" s="5"/>
      <c r="G4" s="5" t="s">
        <v>8</v>
      </c>
      <c r="H4" s="8">
        <f>COUNTIF('KPI Catalog'!Q2:Q200,"PROPOSED")</f>
        <v>56</v>
      </c>
    </row>
    <row r="5" spans="1:8">
      <c r="A5" s="5" t="s">
        <v>9</v>
      </c>
      <c r="B5" s="8">
        <f>COUNTIF('KPI Catalog'!D2:D200,"ATOMIC KPI")</f>
        <v>73</v>
      </c>
      <c r="C5" s="5"/>
      <c r="D5" s="5" t="s">
        <v>10</v>
      </c>
      <c r="E5" s="8">
        <f>COUNTIF('KPI Catalog'!J2:J200,"LOWER_IS_BETTER")</f>
        <v>21</v>
      </c>
      <c r="F5" s="5"/>
      <c r="G5" s="5" t="s">
        <v>11</v>
      </c>
      <c r="H5" s="8">
        <f>COUNTIF('KPI Catalog'!Q2:Q200,"BLOCKED")</f>
        <v>28</v>
      </c>
    </row>
    <row r="6" spans="1:8">
      <c r="A6" s="5" t="s">
        <v>12</v>
      </c>
      <c r="B6" s="8">
        <f>COUNTIF('KPI Catalog'!D2:D200,"FEATURE / MILESTONE")</f>
        <v>11</v>
      </c>
      <c r="C6" s="5"/>
      <c r="D6" s="5" t="s">
        <v>13</v>
      </c>
      <c r="E6" s="8">
        <f>COUNTIF('KPI Catalog'!J2:J200,"BINARY / MILESTONE")</f>
        <v>12</v>
      </c>
      <c r="F6" s="5"/>
      <c r="G6" s="5" t="s">
        <v>14</v>
      </c>
      <c r="H6" s="8">
        <f>COUNTIF('KPI Catalog'!Q2:Q200,"EXCLUDE / REVIEW")</f>
        <v>5</v>
      </c>
    </row>
    <row r="7" spans="1:8" ht="28.5">
      <c r="A7" s="5" t="s">
        <v>15</v>
      </c>
      <c r="B7" s="8">
        <f>COUNTIF('KPI Catalog'!Q2:Q200,"BLOCKED")</f>
        <v>28</v>
      </c>
      <c r="C7" s="5"/>
      <c r="D7" s="5" t="s">
        <v>16</v>
      </c>
      <c r="E7" s="8">
        <f>COUNTIF('KPI Catalog'!J2:J200,"EQUAL_OR_LOWER_REVIEW")</f>
        <v>0</v>
      </c>
      <c r="F7" s="5"/>
      <c r="G7" s="5"/>
      <c r="H7" s="5"/>
    </row>
    <row r="8" spans="1:8">
      <c r="A8" s="5" t="s">
        <v>17</v>
      </c>
      <c r="B8" s="8">
        <f>COUNTIF('KPI Catalog'!Q2:Q200,"EXCLUDE / REVIEW")</f>
        <v>5</v>
      </c>
      <c r="C8" s="5"/>
      <c r="D8" s="5" t="s">
        <v>18</v>
      </c>
      <c r="E8" s="8">
        <f>COUNTIF('KPI Catalog'!J2:J200,"NEEDS_REVIEW")</f>
        <v>8</v>
      </c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 ht="15">
      <c r="A11" s="4" t="s">
        <v>19</v>
      </c>
      <c r="B11" s="4" t="s">
        <v>4</v>
      </c>
      <c r="C11" s="5"/>
      <c r="D11" s="14" t="s">
        <v>20</v>
      </c>
      <c r="E11" s="14"/>
      <c r="F11" s="14"/>
      <c r="G11" s="14"/>
      <c r="H11" s="14"/>
    </row>
    <row r="12" spans="1:8" ht="57">
      <c r="A12" s="5" t="s">
        <v>21</v>
      </c>
      <c r="B12" s="8">
        <f>COUNTIF('KPI Catalog'!E2:E200,"Operational Productivity")</f>
        <v>15</v>
      </c>
      <c r="C12" s="5"/>
      <c r="D12" s="5" t="s">
        <v>22</v>
      </c>
      <c r="E12" s="5"/>
      <c r="F12" s="5"/>
      <c r="G12" s="5"/>
      <c r="H12" s="5"/>
    </row>
    <row r="13" spans="1:8" ht="85.5">
      <c r="A13" s="5" t="s">
        <v>23</v>
      </c>
      <c r="B13" s="8">
        <f>COUNTIF('KPI Catalog'!E2:E200,"Commercial Growth")</f>
        <v>13</v>
      </c>
      <c r="C13" s="5"/>
      <c r="D13" s="5" t="s">
        <v>24</v>
      </c>
      <c r="E13" s="5"/>
      <c r="F13" s="5"/>
      <c r="G13" s="5"/>
      <c r="H13" s="5"/>
    </row>
    <row r="14" spans="1:8" ht="99.75">
      <c r="A14" s="5" t="s">
        <v>25</v>
      </c>
      <c r="B14" s="8">
        <f>COUNTIF('KPI Catalog'!E2:E200,"Financial Performance")</f>
        <v>13</v>
      </c>
      <c r="C14" s="5"/>
      <c r="D14" s="5" t="s">
        <v>26</v>
      </c>
      <c r="E14" s="5"/>
      <c r="F14" s="5"/>
      <c r="G14" s="5"/>
      <c r="H14" s="5"/>
    </row>
    <row r="15" spans="1:8" ht="85.5">
      <c r="A15" s="5" t="s">
        <v>27</v>
      </c>
      <c r="B15" s="8">
        <f>COUNTIF('KPI Catalog'!E2:E200,"Innovation &amp; Digitalization")</f>
        <v>12</v>
      </c>
      <c r="C15" s="5"/>
      <c r="D15" s="5" t="s">
        <v>28</v>
      </c>
      <c r="E15" s="5"/>
      <c r="F15" s="5"/>
      <c r="G15" s="5"/>
      <c r="H15" s="5"/>
    </row>
    <row r="16" spans="1:8" ht="85.5">
      <c r="A16" s="5" t="s">
        <v>29</v>
      </c>
      <c r="B16" s="8">
        <f>COUNTIF('KPI Catalog'!E2:E200,"Cost Efficiency")</f>
        <v>11</v>
      </c>
      <c r="C16" s="5"/>
      <c r="D16" s="5" t="s">
        <v>30</v>
      </c>
      <c r="E16" s="5"/>
      <c r="F16" s="5"/>
      <c r="G16" s="5"/>
      <c r="H16" s="5"/>
    </row>
    <row r="17" spans="1:8" ht="28.5">
      <c r="A17" s="5" t="s">
        <v>31</v>
      </c>
      <c r="B17" s="8">
        <f>COUNTIF('KPI Catalog'!E2:E200,"Needs Business Review")</f>
        <v>10</v>
      </c>
      <c r="C17" s="5"/>
      <c r="D17" s="5"/>
      <c r="E17" s="5"/>
      <c r="F17" s="5"/>
      <c r="G17" s="5"/>
      <c r="H17" s="5"/>
    </row>
    <row r="18" spans="1:8">
      <c r="A18" s="5" t="s">
        <v>32</v>
      </c>
      <c r="B18" s="8">
        <f>COUNTIF('KPI Catalog'!E2:E200,"Asset Utilization")</f>
        <v>6</v>
      </c>
      <c r="C18" s="5"/>
      <c r="D18" s="5"/>
      <c r="E18" s="5"/>
      <c r="F18" s="5"/>
      <c r="G18" s="5"/>
      <c r="H18" s="5"/>
    </row>
    <row r="19" spans="1:8" ht="28.5">
      <c r="A19" s="5" t="s">
        <v>33</v>
      </c>
      <c r="B19" s="8">
        <f>COUNTIF('KPI Catalog'!E2:E200,"Process &amp; Service Quality")</f>
        <v>4</v>
      </c>
      <c r="C19" s="5"/>
      <c r="D19" s="5"/>
      <c r="E19" s="5"/>
      <c r="F19" s="5"/>
      <c r="G19" s="5"/>
      <c r="H19" s="5"/>
    </row>
    <row r="20" spans="1:8">
      <c r="A20" s="5" t="s">
        <v>34</v>
      </c>
      <c r="B20" s="8">
        <f>COUNTIF('KPI Catalog'!E2:E200,"Safety &amp; Risk")</f>
        <v>2</v>
      </c>
      <c r="C20" s="5"/>
      <c r="D20" s="5"/>
      <c r="E20" s="5"/>
      <c r="F20" s="5"/>
      <c r="G20" s="5"/>
      <c r="H20" s="5"/>
    </row>
    <row r="21" spans="1:8">
      <c r="A21" s="5" t="s">
        <v>35</v>
      </c>
      <c r="B21" s="8">
        <f>COUNTIF('KPI Catalog'!E2:E200,"Customer Experience")</f>
        <v>1</v>
      </c>
      <c r="C21" s="5"/>
      <c r="D21" s="5"/>
      <c r="E21" s="5"/>
      <c r="F21" s="5"/>
      <c r="G21" s="5"/>
      <c r="H21" s="5"/>
    </row>
    <row r="22" spans="1:8">
      <c r="A22" s="5" t="s">
        <v>36</v>
      </c>
      <c r="B22" s="8">
        <f>COUNTIF('KPI Catalog'!E2:E200,"Financial Health")</f>
        <v>1</v>
      </c>
      <c r="C22" s="5"/>
      <c r="D22" s="5"/>
      <c r="E22" s="5"/>
      <c r="F22" s="5"/>
      <c r="G22" s="5"/>
      <c r="H22" s="5"/>
    </row>
    <row r="23" spans="1:8">
      <c r="A23" s="5" t="s">
        <v>37</v>
      </c>
      <c r="B23" s="8">
        <f>COUNTIF('KPI Catalog'!E2:E200,"People &amp; Culture")</f>
        <v>1</v>
      </c>
      <c r="C23" s="5"/>
      <c r="D23" s="5"/>
      <c r="E23" s="5"/>
      <c r="F23" s="5"/>
      <c r="G23" s="5"/>
      <c r="H23" s="5"/>
    </row>
    <row r="24" spans="1:8">
      <c r="A24" s="5"/>
      <c r="B24" s="5"/>
      <c r="C24" s="5"/>
      <c r="D24" s="5"/>
      <c r="E24" s="5"/>
      <c r="F24" s="5"/>
      <c r="G24" s="5"/>
      <c r="H24" s="5"/>
    </row>
    <row r="25" spans="1:8">
      <c r="A25" s="5"/>
      <c r="B25" s="5"/>
      <c r="C25" s="5"/>
      <c r="D25" s="5"/>
      <c r="E25" s="5"/>
      <c r="F25" s="5"/>
      <c r="G25" s="5"/>
      <c r="H25" s="5"/>
    </row>
    <row r="26" spans="1:8">
      <c r="A26" s="5"/>
      <c r="B26" s="5"/>
      <c r="C26" s="5"/>
      <c r="D26" s="5"/>
      <c r="E26" s="5"/>
      <c r="F26" s="5"/>
      <c r="G26" s="5"/>
      <c r="H26" s="5"/>
    </row>
    <row r="27" spans="1:8">
      <c r="A27" s="5"/>
      <c r="B27" s="5"/>
      <c r="C27" s="5"/>
      <c r="D27" s="5"/>
      <c r="E27" s="5"/>
      <c r="F27" s="5"/>
      <c r="G27" s="5"/>
      <c r="H27" s="5"/>
    </row>
    <row r="28" spans="1:8">
      <c r="A28" s="5"/>
      <c r="B28" s="5"/>
      <c r="C28" s="5"/>
      <c r="D28" s="5"/>
      <c r="E28" s="5"/>
      <c r="F28" s="5"/>
      <c r="G28" s="5"/>
      <c r="H28" s="5"/>
    </row>
    <row r="29" spans="1:8">
      <c r="A29" s="5"/>
      <c r="B29" s="5"/>
      <c r="C29" s="5"/>
      <c r="D29" s="5"/>
      <c r="E29" s="5"/>
      <c r="F29" s="5"/>
      <c r="G29" s="5"/>
      <c r="H29" s="5"/>
    </row>
    <row r="30" spans="1:8">
      <c r="A30" s="5"/>
      <c r="B30" s="5"/>
      <c r="C30" s="5"/>
      <c r="D30" s="5"/>
      <c r="E30" s="5"/>
      <c r="F30" s="5"/>
      <c r="G30" s="5"/>
      <c r="H30" s="5"/>
    </row>
  </sheetData>
  <mergeCells count="2">
    <mergeCell ref="A1:H1"/>
    <mergeCell ref="D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90"/>
  <sheetViews>
    <sheetView topLeftCell="A67" workbookViewId="0"/>
  </sheetViews>
  <sheetFormatPr baseColWidth="10" defaultColWidth="9" defaultRowHeight="14.25"/>
  <cols>
    <col min="1" max="1" width="12" customWidth="1"/>
    <col min="2" max="2" width="10" customWidth="1"/>
    <col min="3" max="3" width="42" customWidth="1"/>
    <col min="4" max="4" width="20" customWidth="1"/>
    <col min="5" max="5" width="24" customWidth="1"/>
    <col min="6" max="6" width="26" customWidth="1"/>
    <col min="7" max="7" width="24" customWidth="1"/>
    <col min="8" max="8" width="22" customWidth="1"/>
    <col min="9" max="9" width="12" customWidth="1"/>
    <col min="10" max="10" width="24" customWidth="1"/>
    <col min="11" max="11" width="26" customWidth="1"/>
    <col min="12" max="12" width="42" customWidth="1"/>
    <col min="13" max="13" width="16" customWidth="1"/>
    <col min="14" max="15" width="18" customWidth="1"/>
    <col min="16" max="16" width="16" customWidth="1"/>
    <col min="17" max="17" width="18" customWidth="1"/>
    <col min="18" max="18" width="16" customWidth="1"/>
    <col min="19" max="19" width="42" customWidth="1"/>
    <col min="20" max="20" width="22" customWidth="1"/>
    <col min="21" max="21" width="28" customWidth="1"/>
    <col min="22" max="22" width="30" customWidth="1"/>
    <col min="23" max="23" width="10" customWidth="1"/>
    <col min="24" max="24" width="26" customWidth="1"/>
    <col min="25" max="25" width="22" customWidth="1"/>
    <col min="26" max="26" width="34" customWidth="1"/>
    <col min="27" max="27" width="20" customWidth="1"/>
    <col min="28" max="28" width="38" customWidth="1"/>
    <col min="29" max="29" width="42" customWidth="1"/>
    <col min="30" max="30" width="20" customWidth="1"/>
    <col min="31" max="31" width="24" customWidth="1"/>
  </cols>
  <sheetData>
    <row r="1" spans="1:31" ht="4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9" t="s">
        <v>63</v>
      </c>
      <c r="AB1" s="9" t="s">
        <v>64</v>
      </c>
      <c r="AC1" s="9" t="s">
        <v>65</v>
      </c>
      <c r="AD1" s="9" t="s">
        <v>66</v>
      </c>
      <c r="AE1" s="9" t="s">
        <v>67</v>
      </c>
    </row>
    <row r="2" spans="1:31" ht="57.75">
      <c r="A2" s="2" t="s">
        <v>68</v>
      </c>
      <c r="B2" s="2" t="s">
        <v>69</v>
      </c>
      <c r="C2" s="2" t="s">
        <v>70</v>
      </c>
      <c r="D2" s="2" t="s">
        <v>71</v>
      </c>
      <c r="E2" s="2" t="s">
        <v>23</v>
      </c>
      <c r="F2" s="2" t="s">
        <v>72</v>
      </c>
      <c r="G2" s="2" t="s">
        <v>73</v>
      </c>
      <c r="H2" s="2" t="s">
        <v>74</v>
      </c>
      <c r="I2" s="6">
        <v>0.1</v>
      </c>
      <c r="J2" s="2" t="s">
        <v>7</v>
      </c>
      <c r="K2" s="2" t="s">
        <v>75</v>
      </c>
      <c r="L2" s="2" t="s">
        <v>76</v>
      </c>
      <c r="M2" s="6">
        <v>0.2</v>
      </c>
      <c r="N2" s="7">
        <v>200</v>
      </c>
      <c r="O2" s="7">
        <v>100</v>
      </c>
      <c r="P2" s="2" t="s">
        <v>77</v>
      </c>
      <c r="Q2" s="2" t="s">
        <v>8</v>
      </c>
      <c r="R2" s="2" t="s">
        <v>78</v>
      </c>
      <c r="S2" s="2" t="s">
        <v>79</v>
      </c>
      <c r="T2" s="2" t="s">
        <v>80</v>
      </c>
      <c r="U2" s="2"/>
      <c r="V2" s="2" t="s">
        <v>81</v>
      </c>
      <c r="W2" s="2">
        <v>2</v>
      </c>
      <c r="X2" s="2" t="s">
        <v>82</v>
      </c>
      <c r="Y2" s="2" t="s">
        <v>83</v>
      </c>
      <c r="Z2" s="2"/>
      <c r="AA2" s="2" t="s">
        <v>84</v>
      </c>
      <c r="AB2" s="2" t="s">
        <v>85</v>
      </c>
      <c r="AC2" s="2" t="s">
        <v>79</v>
      </c>
      <c r="AD2" s="2" t="s">
        <v>86</v>
      </c>
      <c r="AE2" s="2" t="s">
        <v>87</v>
      </c>
    </row>
    <row r="3" spans="1:31" ht="45">
      <c r="A3" s="2" t="s">
        <v>88</v>
      </c>
      <c r="B3" s="2" t="s">
        <v>69</v>
      </c>
      <c r="C3" s="2" t="s">
        <v>89</v>
      </c>
      <c r="D3" s="2" t="s">
        <v>90</v>
      </c>
      <c r="E3" s="2" t="s">
        <v>23</v>
      </c>
      <c r="F3" s="2" t="s">
        <v>72</v>
      </c>
      <c r="G3" s="2" t="s">
        <v>73</v>
      </c>
      <c r="H3" s="2" t="s">
        <v>91</v>
      </c>
      <c r="I3" s="6">
        <v>0.2</v>
      </c>
      <c r="J3" s="2" t="s">
        <v>7</v>
      </c>
      <c r="K3" s="2" t="s">
        <v>75</v>
      </c>
      <c r="L3" s="2" t="s">
        <v>76</v>
      </c>
      <c r="M3" s="6"/>
      <c r="N3" s="7"/>
      <c r="O3" s="7"/>
      <c r="P3" s="2" t="s">
        <v>92</v>
      </c>
      <c r="Q3" s="2" t="s">
        <v>14</v>
      </c>
      <c r="R3" s="2" t="s">
        <v>78</v>
      </c>
      <c r="S3" s="2" t="s">
        <v>93</v>
      </c>
      <c r="T3" s="2" t="s">
        <v>80</v>
      </c>
      <c r="U3" s="2"/>
      <c r="V3" s="2" t="s">
        <v>94</v>
      </c>
      <c r="W3" s="2">
        <v>1</v>
      </c>
      <c r="X3" s="2" t="s">
        <v>95</v>
      </c>
      <c r="Y3" s="2" t="s">
        <v>96</v>
      </c>
      <c r="Z3" s="2"/>
      <c r="AA3" s="2" t="s">
        <v>97</v>
      </c>
      <c r="AB3" s="2" t="s">
        <v>98</v>
      </c>
      <c r="AC3" s="2" t="s">
        <v>99</v>
      </c>
      <c r="AD3" s="2" t="s">
        <v>14</v>
      </c>
      <c r="AE3" s="2" t="s">
        <v>100</v>
      </c>
    </row>
    <row r="4" spans="1:31" ht="43.5">
      <c r="A4" s="2" t="s">
        <v>101</v>
      </c>
      <c r="B4" s="2" t="s">
        <v>102</v>
      </c>
      <c r="C4" s="2" t="s">
        <v>103</v>
      </c>
      <c r="D4" s="2" t="s">
        <v>71</v>
      </c>
      <c r="E4" s="2" t="s">
        <v>23</v>
      </c>
      <c r="F4" s="2" t="s">
        <v>72</v>
      </c>
      <c r="G4" s="2" t="s">
        <v>104</v>
      </c>
      <c r="H4" s="2" t="s">
        <v>105</v>
      </c>
      <c r="I4" s="6">
        <v>10</v>
      </c>
      <c r="J4" s="2" t="s">
        <v>7</v>
      </c>
      <c r="K4" s="2" t="s">
        <v>75</v>
      </c>
      <c r="L4" s="2" t="s">
        <v>76</v>
      </c>
      <c r="M4" s="6">
        <v>19</v>
      </c>
      <c r="N4" s="7">
        <v>190</v>
      </c>
      <c r="O4" s="7">
        <v>100</v>
      </c>
      <c r="P4" s="2" t="s">
        <v>106</v>
      </c>
      <c r="Q4" s="2" t="s">
        <v>8</v>
      </c>
      <c r="R4" s="2" t="s">
        <v>78</v>
      </c>
      <c r="S4" s="2" t="s">
        <v>107</v>
      </c>
      <c r="T4" s="2" t="s">
        <v>80</v>
      </c>
      <c r="U4" s="2" t="s">
        <v>108</v>
      </c>
      <c r="V4" s="2" t="s">
        <v>109</v>
      </c>
      <c r="W4" s="2">
        <v>2</v>
      </c>
      <c r="X4" s="2" t="s">
        <v>110</v>
      </c>
      <c r="Y4" s="2" t="s">
        <v>111</v>
      </c>
      <c r="Z4" s="2"/>
      <c r="AA4" s="2" t="s">
        <v>112</v>
      </c>
      <c r="AB4" s="2" t="s">
        <v>113</v>
      </c>
      <c r="AC4" s="2" t="s">
        <v>114</v>
      </c>
      <c r="AD4" s="2" t="s">
        <v>86</v>
      </c>
      <c r="AE4" s="2" t="s">
        <v>115</v>
      </c>
    </row>
    <row r="5" spans="1:31" ht="86.25">
      <c r="A5" s="2" t="s">
        <v>116</v>
      </c>
      <c r="B5" s="2" t="s">
        <v>117</v>
      </c>
      <c r="C5" s="2" t="s">
        <v>118</v>
      </c>
      <c r="D5" s="2" t="s">
        <v>71</v>
      </c>
      <c r="E5" s="2" t="s">
        <v>23</v>
      </c>
      <c r="F5" s="2" t="s">
        <v>119</v>
      </c>
      <c r="G5" s="2" t="s">
        <v>18</v>
      </c>
      <c r="H5" s="2" t="s">
        <v>91</v>
      </c>
      <c r="I5" s="6">
        <v>25000</v>
      </c>
      <c r="J5" s="2" t="s">
        <v>18</v>
      </c>
      <c r="K5" s="2" t="s">
        <v>18</v>
      </c>
      <c r="L5" s="2" t="s">
        <v>120</v>
      </c>
      <c r="M5" s="6">
        <v>20092.400000000001</v>
      </c>
      <c r="N5" s="7"/>
      <c r="O5" s="7"/>
      <c r="P5" s="2" t="s">
        <v>92</v>
      </c>
      <c r="Q5" s="2" t="s">
        <v>11</v>
      </c>
      <c r="R5" s="2" t="s">
        <v>78</v>
      </c>
      <c r="S5" s="2" t="s">
        <v>121</v>
      </c>
      <c r="T5" s="2" t="s">
        <v>122</v>
      </c>
      <c r="U5" s="2" t="s">
        <v>119</v>
      </c>
      <c r="V5" s="2" t="s">
        <v>123</v>
      </c>
      <c r="W5" s="2">
        <v>2</v>
      </c>
      <c r="X5" s="2" t="s">
        <v>95</v>
      </c>
      <c r="Y5" s="2" t="s">
        <v>124</v>
      </c>
      <c r="Z5" s="2"/>
      <c r="AA5" s="2" t="s">
        <v>125</v>
      </c>
      <c r="AB5" s="2" t="s">
        <v>126</v>
      </c>
      <c r="AC5" s="2" t="s">
        <v>127</v>
      </c>
      <c r="AD5" s="2" t="s">
        <v>11</v>
      </c>
      <c r="AE5" s="2" t="s">
        <v>78</v>
      </c>
    </row>
    <row r="6" spans="1:31" ht="57.75">
      <c r="A6" s="2" t="s">
        <v>128</v>
      </c>
      <c r="B6" s="2" t="s">
        <v>129</v>
      </c>
      <c r="C6" s="2" t="s">
        <v>130</v>
      </c>
      <c r="D6" s="2" t="s">
        <v>71</v>
      </c>
      <c r="E6" s="2" t="s">
        <v>31</v>
      </c>
      <c r="F6" s="2" t="s">
        <v>131</v>
      </c>
      <c r="G6" s="2" t="s">
        <v>18</v>
      </c>
      <c r="H6" s="2" t="s">
        <v>132</v>
      </c>
      <c r="I6" s="6">
        <v>0.2</v>
      </c>
      <c r="J6" s="2" t="s">
        <v>7</v>
      </c>
      <c r="K6" s="2" t="s">
        <v>75</v>
      </c>
      <c r="L6" s="2" t="s">
        <v>76</v>
      </c>
      <c r="M6" s="6">
        <v>0.3</v>
      </c>
      <c r="N6" s="7">
        <v>149.99999999999997</v>
      </c>
      <c r="O6" s="7">
        <v>100</v>
      </c>
      <c r="P6" s="2" t="s">
        <v>92</v>
      </c>
      <c r="Q6" s="2" t="s">
        <v>11</v>
      </c>
      <c r="R6" s="2" t="s">
        <v>78</v>
      </c>
      <c r="S6" s="2" t="s">
        <v>121</v>
      </c>
      <c r="T6" s="2" t="s">
        <v>122</v>
      </c>
      <c r="U6" s="2" t="s">
        <v>133</v>
      </c>
      <c r="V6" s="2" t="s">
        <v>134</v>
      </c>
      <c r="W6" s="2">
        <v>2</v>
      </c>
      <c r="X6" s="2" t="s">
        <v>135</v>
      </c>
      <c r="Y6" s="2" t="s">
        <v>96</v>
      </c>
      <c r="Z6" s="2"/>
      <c r="AA6" s="2" t="s">
        <v>125</v>
      </c>
      <c r="AB6" s="2" t="s">
        <v>136</v>
      </c>
      <c r="AC6" s="2" t="s">
        <v>137</v>
      </c>
      <c r="AD6" s="2" t="s">
        <v>11</v>
      </c>
      <c r="AE6" s="2" t="s">
        <v>78</v>
      </c>
    </row>
    <row r="7" spans="1:31" ht="57.75">
      <c r="A7" s="2" t="s">
        <v>138</v>
      </c>
      <c r="B7" s="2" t="s">
        <v>139</v>
      </c>
      <c r="C7" s="2" t="s">
        <v>140</v>
      </c>
      <c r="D7" s="2" t="s">
        <v>71</v>
      </c>
      <c r="E7" s="2" t="s">
        <v>23</v>
      </c>
      <c r="F7" s="2" t="s">
        <v>141</v>
      </c>
      <c r="G7" s="2" t="s">
        <v>73</v>
      </c>
      <c r="H7" s="2" t="s">
        <v>142</v>
      </c>
      <c r="I7" s="6">
        <v>0.2</v>
      </c>
      <c r="J7" s="2" t="s">
        <v>7</v>
      </c>
      <c r="K7" s="2" t="s">
        <v>75</v>
      </c>
      <c r="L7" s="2" t="s">
        <v>76</v>
      </c>
      <c r="M7" s="6">
        <v>0</v>
      </c>
      <c r="N7" s="7">
        <v>0</v>
      </c>
      <c r="O7" s="7">
        <v>0</v>
      </c>
      <c r="P7" s="2" t="s">
        <v>77</v>
      </c>
      <c r="Q7" s="2" t="s">
        <v>8</v>
      </c>
      <c r="R7" s="2" t="s">
        <v>78</v>
      </c>
      <c r="S7" s="2" t="s">
        <v>79</v>
      </c>
      <c r="T7" s="2" t="s">
        <v>80</v>
      </c>
      <c r="U7" s="2" t="s">
        <v>143</v>
      </c>
      <c r="V7" s="2" t="s">
        <v>144</v>
      </c>
      <c r="W7" s="2">
        <v>2</v>
      </c>
      <c r="X7" s="2" t="s">
        <v>145</v>
      </c>
      <c r="Y7" s="2" t="s">
        <v>96</v>
      </c>
      <c r="Z7" s="2"/>
      <c r="AA7" s="2" t="s">
        <v>84</v>
      </c>
      <c r="AB7" s="2" t="s">
        <v>85</v>
      </c>
      <c r="AC7" s="2" t="s">
        <v>79</v>
      </c>
      <c r="AD7" s="2" t="s">
        <v>86</v>
      </c>
      <c r="AE7" s="2" t="s">
        <v>87</v>
      </c>
    </row>
    <row r="8" spans="1:31" ht="57.75">
      <c r="A8" s="2" t="s">
        <v>146</v>
      </c>
      <c r="B8" s="2" t="s">
        <v>147</v>
      </c>
      <c r="C8" s="2" t="s">
        <v>148</v>
      </c>
      <c r="D8" s="2" t="s">
        <v>71</v>
      </c>
      <c r="E8" s="2" t="s">
        <v>23</v>
      </c>
      <c r="F8" s="2" t="s">
        <v>149</v>
      </c>
      <c r="G8" s="2" t="s">
        <v>73</v>
      </c>
      <c r="H8" s="2" t="s">
        <v>150</v>
      </c>
      <c r="I8" s="6">
        <v>1</v>
      </c>
      <c r="J8" s="2" t="s">
        <v>7</v>
      </c>
      <c r="K8" s="2" t="s">
        <v>75</v>
      </c>
      <c r="L8" s="2" t="s">
        <v>76</v>
      </c>
      <c r="M8" s="6">
        <v>0</v>
      </c>
      <c r="N8" s="7">
        <v>0</v>
      </c>
      <c r="O8" s="7">
        <v>0</v>
      </c>
      <c r="P8" s="2" t="s">
        <v>77</v>
      </c>
      <c r="Q8" s="2" t="s">
        <v>8</v>
      </c>
      <c r="R8" s="2" t="s">
        <v>78</v>
      </c>
      <c r="S8" s="2" t="s">
        <v>79</v>
      </c>
      <c r="T8" s="2" t="s">
        <v>80</v>
      </c>
      <c r="U8" s="2" t="s">
        <v>149</v>
      </c>
      <c r="V8" s="2" t="s">
        <v>151</v>
      </c>
      <c r="W8" s="2">
        <v>1</v>
      </c>
      <c r="X8" s="2" t="s">
        <v>152</v>
      </c>
      <c r="Y8" s="2" t="s">
        <v>69</v>
      </c>
      <c r="Z8" s="2"/>
      <c r="AA8" s="2" t="s">
        <v>84</v>
      </c>
      <c r="AB8" s="2" t="s">
        <v>85</v>
      </c>
      <c r="AC8" s="2" t="s">
        <v>79</v>
      </c>
      <c r="AD8" s="2" t="s">
        <v>86</v>
      </c>
      <c r="AE8" s="2" t="s">
        <v>87</v>
      </c>
    </row>
    <row r="9" spans="1:31" ht="57.75">
      <c r="A9" s="2" t="s">
        <v>153</v>
      </c>
      <c r="B9" s="2" t="s">
        <v>154</v>
      </c>
      <c r="C9" s="2" t="s">
        <v>155</v>
      </c>
      <c r="D9" s="2" t="s">
        <v>71</v>
      </c>
      <c r="E9" s="2" t="s">
        <v>31</v>
      </c>
      <c r="F9" s="2" t="s">
        <v>72</v>
      </c>
      <c r="G9" s="2" t="s">
        <v>18</v>
      </c>
      <c r="H9" s="2" t="s">
        <v>132</v>
      </c>
      <c r="I9" s="6">
        <v>15</v>
      </c>
      <c r="J9" s="2" t="s">
        <v>7</v>
      </c>
      <c r="K9" s="2" t="s">
        <v>75</v>
      </c>
      <c r="L9" s="2" t="s">
        <v>76</v>
      </c>
      <c r="M9" s="6">
        <v>1</v>
      </c>
      <c r="N9" s="7">
        <v>6.666666666666667</v>
      </c>
      <c r="O9" s="7">
        <v>6.666666666666667</v>
      </c>
      <c r="P9" s="2" t="s">
        <v>92</v>
      </c>
      <c r="Q9" s="2" t="s">
        <v>11</v>
      </c>
      <c r="R9" s="2" t="s">
        <v>78</v>
      </c>
      <c r="S9" s="2" t="s">
        <v>121</v>
      </c>
      <c r="T9" s="2" t="s">
        <v>122</v>
      </c>
      <c r="U9" s="2" t="s">
        <v>108</v>
      </c>
      <c r="V9" s="2" t="s">
        <v>108</v>
      </c>
      <c r="W9" s="2">
        <v>1</v>
      </c>
      <c r="X9" s="2" t="s">
        <v>135</v>
      </c>
      <c r="Y9" s="2" t="s">
        <v>156</v>
      </c>
      <c r="Z9" s="2"/>
      <c r="AA9" s="2" t="s">
        <v>125</v>
      </c>
      <c r="AB9" s="2" t="s">
        <v>136</v>
      </c>
      <c r="AC9" s="2" t="s">
        <v>137</v>
      </c>
      <c r="AD9" s="2" t="s">
        <v>11</v>
      </c>
      <c r="AE9" s="2" t="s">
        <v>78</v>
      </c>
    </row>
    <row r="10" spans="1:31" ht="43.5">
      <c r="A10" s="2" t="s">
        <v>157</v>
      </c>
      <c r="B10" s="2" t="s">
        <v>158</v>
      </c>
      <c r="C10" s="2" t="s">
        <v>159</v>
      </c>
      <c r="D10" s="2" t="s">
        <v>71</v>
      </c>
      <c r="E10" s="2" t="s">
        <v>23</v>
      </c>
      <c r="F10" s="2" t="s">
        <v>72</v>
      </c>
      <c r="G10" s="2" t="s">
        <v>104</v>
      </c>
      <c r="H10" s="2" t="s">
        <v>91</v>
      </c>
      <c r="I10" s="6">
        <v>40000</v>
      </c>
      <c r="J10" s="2" t="s">
        <v>7</v>
      </c>
      <c r="K10" s="2" t="s">
        <v>75</v>
      </c>
      <c r="L10" s="2" t="s">
        <v>76</v>
      </c>
      <c r="M10" s="6">
        <v>1800</v>
      </c>
      <c r="N10" s="7">
        <v>4.5</v>
      </c>
      <c r="O10" s="7">
        <v>4.5</v>
      </c>
      <c r="P10" s="2" t="s">
        <v>106</v>
      </c>
      <c r="Q10" s="2" t="s">
        <v>8</v>
      </c>
      <c r="R10" s="2" t="s">
        <v>78</v>
      </c>
      <c r="S10" s="2" t="s">
        <v>107</v>
      </c>
      <c r="T10" s="2" t="s">
        <v>80</v>
      </c>
      <c r="U10" s="2" t="s">
        <v>108</v>
      </c>
      <c r="V10" s="2" t="s">
        <v>108</v>
      </c>
      <c r="W10" s="2">
        <v>1</v>
      </c>
      <c r="X10" s="2" t="s">
        <v>95</v>
      </c>
      <c r="Y10" s="2" t="s">
        <v>160</v>
      </c>
      <c r="Z10" s="2"/>
      <c r="AA10" s="2" t="s">
        <v>112</v>
      </c>
      <c r="AB10" s="2" t="s">
        <v>113</v>
      </c>
      <c r="AC10" s="2" t="s">
        <v>114</v>
      </c>
      <c r="AD10" s="2" t="s">
        <v>86</v>
      </c>
      <c r="AE10" s="2" t="s">
        <v>115</v>
      </c>
    </row>
    <row r="11" spans="1:31" ht="43.5">
      <c r="A11" s="2" t="s">
        <v>161</v>
      </c>
      <c r="B11" s="2" t="s">
        <v>162</v>
      </c>
      <c r="C11" s="2" t="s">
        <v>163</v>
      </c>
      <c r="D11" s="2" t="s">
        <v>71</v>
      </c>
      <c r="E11" s="2" t="s">
        <v>23</v>
      </c>
      <c r="F11" s="2" t="s">
        <v>72</v>
      </c>
      <c r="G11" s="2" t="s">
        <v>104</v>
      </c>
      <c r="H11" s="2" t="s">
        <v>91</v>
      </c>
      <c r="I11" s="6">
        <v>16000</v>
      </c>
      <c r="J11" s="2" t="s">
        <v>7</v>
      </c>
      <c r="K11" s="2" t="s">
        <v>75</v>
      </c>
      <c r="L11" s="2" t="s">
        <v>76</v>
      </c>
      <c r="M11" s="6">
        <v>0</v>
      </c>
      <c r="N11" s="7">
        <v>0</v>
      </c>
      <c r="O11" s="7">
        <v>0</v>
      </c>
      <c r="P11" s="2" t="s">
        <v>106</v>
      </c>
      <c r="Q11" s="2" t="s">
        <v>8</v>
      </c>
      <c r="R11" s="2" t="s">
        <v>78</v>
      </c>
      <c r="S11" s="2" t="s">
        <v>107</v>
      </c>
      <c r="T11" s="2" t="s">
        <v>80</v>
      </c>
      <c r="U11" s="2" t="s">
        <v>108</v>
      </c>
      <c r="V11" s="2" t="s">
        <v>108</v>
      </c>
      <c r="W11" s="2">
        <v>1</v>
      </c>
      <c r="X11" s="2" t="s">
        <v>95</v>
      </c>
      <c r="Y11" s="2" t="s">
        <v>164</v>
      </c>
      <c r="Z11" s="2"/>
      <c r="AA11" s="2" t="s">
        <v>112</v>
      </c>
      <c r="AB11" s="2" t="s">
        <v>113</v>
      </c>
      <c r="AC11" s="2" t="s">
        <v>114</v>
      </c>
      <c r="AD11" s="2" t="s">
        <v>86</v>
      </c>
      <c r="AE11" s="2" t="s">
        <v>115</v>
      </c>
    </row>
    <row r="12" spans="1:31" ht="57.75">
      <c r="A12" s="2" t="s">
        <v>165</v>
      </c>
      <c r="B12" s="2" t="s">
        <v>166</v>
      </c>
      <c r="C12" s="2" t="s">
        <v>167</v>
      </c>
      <c r="D12" s="2" t="s">
        <v>71</v>
      </c>
      <c r="E12" s="2" t="s">
        <v>23</v>
      </c>
      <c r="F12" s="2" t="s">
        <v>72</v>
      </c>
      <c r="G12" s="2" t="s">
        <v>73</v>
      </c>
      <c r="H12" s="2" t="s">
        <v>74</v>
      </c>
      <c r="I12" s="6">
        <v>0.2</v>
      </c>
      <c r="J12" s="2" t="s">
        <v>7</v>
      </c>
      <c r="K12" s="2" t="s">
        <v>75</v>
      </c>
      <c r="L12" s="2" t="s">
        <v>76</v>
      </c>
      <c r="M12" s="6">
        <v>0</v>
      </c>
      <c r="N12" s="7">
        <v>0</v>
      </c>
      <c r="O12" s="7">
        <v>0</v>
      </c>
      <c r="P12" s="2" t="s">
        <v>77</v>
      </c>
      <c r="Q12" s="2" t="s">
        <v>8</v>
      </c>
      <c r="R12" s="2" t="s">
        <v>78</v>
      </c>
      <c r="S12" s="2" t="s">
        <v>79</v>
      </c>
      <c r="T12" s="2" t="s">
        <v>80</v>
      </c>
      <c r="U12" s="2" t="s">
        <v>108</v>
      </c>
      <c r="V12" s="2" t="s">
        <v>168</v>
      </c>
      <c r="W12" s="2">
        <v>1</v>
      </c>
      <c r="X12" s="2" t="s">
        <v>82</v>
      </c>
      <c r="Y12" s="2" t="s">
        <v>96</v>
      </c>
      <c r="Z12" s="2"/>
      <c r="AA12" s="2" t="s">
        <v>84</v>
      </c>
      <c r="AB12" s="2" t="s">
        <v>85</v>
      </c>
      <c r="AC12" s="2" t="s">
        <v>79</v>
      </c>
      <c r="AD12" s="2" t="s">
        <v>86</v>
      </c>
      <c r="AE12" s="2" t="s">
        <v>87</v>
      </c>
    </row>
    <row r="13" spans="1:31" ht="43.5">
      <c r="A13" s="2" t="s">
        <v>169</v>
      </c>
      <c r="B13" s="2" t="s">
        <v>170</v>
      </c>
      <c r="C13" s="2" t="s">
        <v>171</v>
      </c>
      <c r="D13" s="2" t="s">
        <v>71</v>
      </c>
      <c r="E13" s="2" t="s">
        <v>23</v>
      </c>
      <c r="F13" s="2" t="s">
        <v>72</v>
      </c>
      <c r="G13" s="2" t="s">
        <v>73</v>
      </c>
      <c r="H13" s="2" t="s">
        <v>74</v>
      </c>
      <c r="I13" s="6">
        <v>0.2</v>
      </c>
      <c r="J13" s="2" t="s">
        <v>18</v>
      </c>
      <c r="K13" s="2" t="s">
        <v>18</v>
      </c>
      <c r="L13" s="2" t="s">
        <v>120</v>
      </c>
      <c r="M13" s="6">
        <v>0.45</v>
      </c>
      <c r="N13" s="7"/>
      <c r="O13" s="7"/>
      <c r="P13" s="2" t="s">
        <v>92</v>
      </c>
      <c r="Q13" s="2" t="s">
        <v>11</v>
      </c>
      <c r="R13" s="2" t="s">
        <v>78</v>
      </c>
      <c r="S13" s="2" t="s">
        <v>121</v>
      </c>
      <c r="T13" s="2" t="s">
        <v>80</v>
      </c>
      <c r="U13" s="2" t="s">
        <v>108</v>
      </c>
      <c r="V13" s="2" t="s">
        <v>108</v>
      </c>
      <c r="W13" s="2">
        <v>1</v>
      </c>
      <c r="X13" s="2" t="s">
        <v>82</v>
      </c>
      <c r="Y13" s="2" t="s">
        <v>96</v>
      </c>
      <c r="Z13" s="2"/>
      <c r="AA13" s="2" t="s">
        <v>125</v>
      </c>
      <c r="AB13" s="2" t="s">
        <v>172</v>
      </c>
      <c r="AC13" s="2" t="s">
        <v>173</v>
      </c>
      <c r="AD13" s="2" t="s">
        <v>11</v>
      </c>
      <c r="AE13" s="2" t="s">
        <v>78</v>
      </c>
    </row>
    <row r="14" spans="1:31" ht="43.5">
      <c r="A14" s="2" t="s">
        <v>174</v>
      </c>
      <c r="B14" s="2" t="s">
        <v>175</v>
      </c>
      <c r="C14" s="2" t="s">
        <v>176</v>
      </c>
      <c r="D14" s="2" t="s">
        <v>71</v>
      </c>
      <c r="E14" s="2" t="s">
        <v>23</v>
      </c>
      <c r="F14" s="2" t="s">
        <v>119</v>
      </c>
      <c r="G14" s="2" t="s">
        <v>104</v>
      </c>
      <c r="H14" s="2" t="s">
        <v>177</v>
      </c>
      <c r="I14" s="6">
        <v>100000</v>
      </c>
      <c r="J14" s="2" t="s">
        <v>7</v>
      </c>
      <c r="K14" s="2" t="s">
        <v>75</v>
      </c>
      <c r="L14" s="2" t="s">
        <v>76</v>
      </c>
      <c r="M14" s="6">
        <v>112588</v>
      </c>
      <c r="N14" s="7">
        <v>112.58799999999999</v>
      </c>
      <c r="O14" s="7">
        <v>100</v>
      </c>
      <c r="P14" s="2" t="s">
        <v>106</v>
      </c>
      <c r="Q14" s="2" t="s">
        <v>8</v>
      </c>
      <c r="R14" s="2" t="s">
        <v>78</v>
      </c>
      <c r="S14" s="2" t="s">
        <v>107</v>
      </c>
      <c r="T14" s="2" t="s">
        <v>80</v>
      </c>
      <c r="U14" s="2" t="s">
        <v>119</v>
      </c>
      <c r="V14" s="2" t="s">
        <v>123</v>
      </c>
      <c r="W14" s="2">
        <v>2</v>
      </c>
      <c r="X14" s="2" t="s">
        <v>178</v>
      </c>
      <c r="Y14" s="2" t="s">
        <v>179</v>
      </c>
      <c r="Z14" s="2"/>
      <c r="AA14" s="2" t="s">
        <v>112</v>
      </c>
      <c r="AB14" s="2" t="s">
        <v>113</v>
      </c>
      <c r="AC14" s="2" t="s">
        <v>114</v>
      </c>
      <c r="AD14" s="2" t="s">
        <v>86</v>
      </c>
      <c r="AE14" s="2" t="s">
        <v>115</v>
      </c>
    </row>
    <row r="15" spans="1:31" ht="57.75">
      <c r="A15" s="2" t="s">
        <v>180</v>
      </c>
      <c r="B15" s="2" t="s">
        <v>181</v>
      </c>
      <c r="C15" s="2" t="s">
        <v>182</v>
      </c>
      <c r="D15" s="2" t="s">
        <v>71</v>
      </c>
      <c r="E15" s="2" t="s">
        <v>23</v>
      </c>
      <c r="F15" s="2" t="s">
        <v>72</v>
      </c>
      <c r="G15" s="2" t="s">
        <v>73</v>
      </c>
      <c r="H15" s="2" t="s">
        <v>91</v>
      </c>
      <c r="I15" s="6">
        <v>0.2</v>
      </c>
      <c r="J15" s="2" t="s">
        <v>7</v>
      </c>
      <c r="K15" s="2" t="s">
        <v>75</v>
      </c>
      <c r="L15" s="2" t="s">
        <v>76</v>
      </c>
      <c r="M15" s="6">
        <v>1.03</v>
      </c>
      <c r="N15" s="7">
        <v>515</v>
      </c>
      <c r="O15" s="7">
        <v>100</v>
      </c>
      <c r="P15" s="2" t="s">
        <v>77</v>
      </c>
      <c r="Q15" s="2" t="s">
        <v>8</v>
      </c>
      <c r="R15" s="2" t="s">
        <v>78</v>
      </c>
      <c r="S15" s="2" t="s">
        <v>79</v>
      </c>
      <c r="T15" s="2" t="s">
        <v>80</v>
      </c>
      <c r="U15" s="2" t="s">
        <v>149</v>
      </c>
      <c r="V15" s="2" t="s">
        <v>183</v>
      </c>
      <c r="W15" s="2">
        <v>2</v>
      </c>
      <c r="X15" s="2" t="s">
        <v>95</v>
      </c>
      <c r="Y15" s="2" t="s">
        <v>96</v>
      </c>
      <c r="Z15" s="2"/>
      <c r="AA15" s="2" t="s">
        <v>84</v>
      </c>
      <c r="AB15" s="2" t="s">
        <v>85</v>
      </c>
      <c r="AC15" s="2" t="s">
        <v>79</v>
      </c>
      <c r="AD15" s="2" t="s">
        <v>86</v>
      </c>
      <c r="AE15" s="2" t="s">
        <v>87</v>
      </c>
    </row>
    <row r="16" spans="1:31" ht="43.5">
      <c r="A16" s="2" t="s">
        <v>184</v>
      </c>
      <c r="B16" s="2" t="s">
        <v>185</v>
      </c>
      <c r="C16" s="2" t="s">
        <v>186</v>
      </c>
      <c r="D16" s="2" t="s">
        <v>71</v>
      </c>
      <c r="E16" s="2" t="s">
        <v>23</v>
      </c>
      <c r="F16" s="2" t="s">
        <v>72</v>
      </c>
      <c r="G16" s="2" t="s">
        <v>104</v>
      </c>
      <c r="H16" s="2" t="s">
        <v>187</v>
      </c>
      <c r="I16" s="6">
        <v>10</v>
      </c>
      <c r="J16" s="2" t="s">
        <v>7</v>
      </c>
      <c r="K16" s="2" t="s">
        <v>75</v>
      </c>
      <c r="L16" s="2" t="s">
        <v>76</v>
      </c>
      <c r="M16" s="6">
        <v>0</v>
      </c>
      <c r="N16" s="7">
        <v>0</v>
      </c>
      <c r="O16" s="7">
        <v>0</v>
      </c>
      <c r="P16" s="2" t="s">
        <v>106</v>
      </c>
      <c r="Q16" s="2" t="s">
        <v>8</v>
      </c>
      <c r="R16" s="2" t="s">
        <v>78</v>
      </c>
      <c r="S16" s="2" t="s">
        <v>107</v>
      </c>
      <c r="T16" s="2" t="s">
        <v>80</v>
      </c>
      <c r="U16" s="2" t="s">
        <v>188</v>
      </c>
      <c r="V16" s="2" t="s">
        <v>189</v>
      </c>
      <c r="W16" s="2">
        <v>2</v>
      </c>
      <c r="X16" s="2" t="s">
        <v>190</v>
      </c>
      <c r="Y16" s="2" t="s">
        <v>111</v>
      </c>
      <c r="Z16" s="2"/>
      <c r="AA16" s="2" t="s">
        <v>112</v>
      </c>
      <c r="AB16" s="2" t="s">
        <v>113</v>
      </c>
      <c r="AC16" s="2" t="s">
        <v>114</v>
      </c>
      <c r="AD16" s="2" t="s">
        <v>86</v>
      </c>
      <c r="AE16" s="2" t="s">
        <v>115</v>
      </c>
    </row>
    <row r="17" spans="1:31" ht="45">
      <c r="A17" s="2" t="s">
        <v>191</v>
      </c>
      <c r="B17" s="2" t="s">
        <v>111</v>
      </c>
      <c r="C17" s="2" t="s">
        <v>192</v>
      </c>
      <c r="D17" s="2" t="s">
        <v>193</v>
      </c>
      <c r="E17" s="2" t="s">
        <v>31</v>
      </c>
      <c r="F17" s="2" t="s">
        <v>108</v>
      </c>
      <c r="G17" s="2" t="s">
        <v>18</v>
      </c>
      <c r="H17" s="2" t="s">
        <v>194</v>
      </c>
      <c r="I17" s="6">
        <v>1</v>
      </c>
      <c r="J17" s="2" t="s">
        <v>18</v>
      </c>
      <c r="K17" s="2" t="s">
        <v>18</v>
      </c>
      <c r="L17" s="2" t="s">
        <v>120</v>
      </c>
      <c r="M17" s="6">
        <v>0.42549999999999999</v>
      </c>
      <c r="N17" s="7"/>
      <c r="O17" s="7"/>
      <c r="P17" s="2" t="s">
        <v>92</v>
      </c>
      <c r="Q17" s="2" t="s">
        <v>14</v>
      </c>
      <c r="R17" s="2" t="s">
        <v>78</v>
      </c>
      <c r="S17" s="2" t="s">
        <v>93</v>
      </c>
      <c r="T17" s="2" t="s">
        <v>122</v>
      </c>
      <c r="U17" s="2" t="s">
        <v>108</v>
      </c>
      <c r="V17" s="2" t="s">
        <v>195</v>
      </c>
      <c r="W17" s="2">
        <v>2</v>
      </c>
      <c r="X17" s="2" t="s">
        <v>194</v>
      </c>
      <c r="Y17" s="2" t="s">
        <v>69</v>
      </c>
      <c r="Z17" s="2"/>
      <c r="AA17" s="2" t="s">
        <v>97</v>
      </c>
      <c r="AB17" s="2" t="s">
        <v>98</v>
      </c>
      <c r="AC17" s="2" t="s">
        <v>99</v>
      </c>
      <c r="AD17" s="2" t="s">
        <v>14</v>
      </c>
      <c r="AE17" s="2" t="s">
        <v>100</v>
      </c>
    </row>
    <row r="18" spans="1:31" ht="45">
      <c r="A18" s="2" t="s">
        <v>196</v>
      </c>
      <c r="B18" s="2" t="s">
        <v>197</v>
      </c>
      <c r="C18" s="2" t="s">
        <v>198</v>
      </c>
      <c r="D18" s="2" t="s">
        <v>90</v>
      </c>
      <c r="E18" s="2" t="s">
        <v>25</v>
      </c>
      <c r="F18" s="2" t="s">
        <v>199</v>
      </c>
      <c r="G18" s="2" t="s">
        <v>200</v>
      </c>
      <c r="H18" s="2" t="s">
        <v>74</v>
      </c>
      <c r="I18" s="6">
        <v>0.1</v>
      </c>
      <c r="J18" s="2" t="s">
        <v>7</v>
      </c>
      <c r="K18" s="2" t="s">
        <v>75</v>
      </c>
      <c r="L18" s="2" t="s">
        <v>76</v>
      </c>
      <c r="M18" s="6"/>
      <c r="N18" s="7"/>
      <c r="O18" s="7"/>
      <c r="P18" s="2" t="s">
        <v>92</v>
      </c>
      <c r="Q18" s="2" t="s">
        <v>14</v>
      </c>
      <c r="R18" s="2" t="s">
        <v>78</v>
      </c>
      <c r="S18" s="2" t="s">
        <v>93</v>
      </c>
      <c r="T18" s="2" t="s">
        <v>201</v>
      </c>
      <c r="U18" s="2"/>
      <c r="V18" s="2" t="s">
        <v>94</v>
      </c>
      <c r="W18" s="2">
        <v>1</v>
      </c>
      <c r="X18" s="2" t="s">
        <v>82</v>
      </c>
      <c r="Y18" s="2" t="s">
        <v>83</v>
      </c>
      <c r="Z18" s="2"/>
      <c r="AA18" s="2" t="s">
        <v>97</v>
      </c>
      <c r="AB18" s="2" t="s">
        <v>98</v>
      </c>
      <c r="AC18" s="2" t="s">
        <v>99</v>
      </c>
      <c r="AD18" s="2" t="s">
        <v>14</v>
      </c>
      <c r="AE18" s="2" t="s">
        <v>100</v>
      </c>
    </row>
    <row r="19" spans="1:31" ht="43.5">
      <c r="A19" s="2" t="s">
        <v>202</v>
      </c>
      <c r="B19" s="2" t="s">
        <v>197</v>
      </c>
      <c r="C19" s="2" t="s">
        <v>203</v>
      </c>
      <c r="D19" s="2" t="s">
        <v>71</v>
      </c>
      <c r="E19" s="2" t="s">
        <v>25</v>
      </c>
      <c r="F19" s="2" t="s">
        <v>199</v>
      </c>
      <c r="G19" s="2" t="s">
        <v>200</v>
      </c>
      <c r="H19" s="2" t="s">
        <v>74</v>
      </c>
      <c r="I19" s="6">
        <v>0.1</v>
      </c>
      <c r="J19" s="2" t="s">
        <v>7</v>
      </c>
      <c r="K19" s="2" t="s">
        <v>75</v>
      </c>
      <c r="L19" s="2" t="s">
        <v>76</v>
      </c>
      <c r="M19" s="6">
        <v>0.1</v>
      </c>
      <c r="N19" s="7">
        <v>100</v>
      </c>
      <c r="O19" s="7">
        <v>100</v>
      </c>
      <c r="P19" s="2" t="s">
        <v>106</v>
      </c>
      <c r="Q19" s="2" t="s">
        <v>8</v>
      </c>
      <c r="R19" s="2" t="s">
        <v>78</v>
      </c>
      <c r="S19" s="2" t="s">
        <v>107</v>
      </c>
      <c r="T19" s="2" t="s">
        <v>201</v>
      </c>
      <c r="U19" s="2"/>
      <c r="V19" s="2" t="s">
        <v>81</v>
      </c>
      <c r="W19" s="2">
        <v>2</v>
      </c>
      <c r="X19" s="2"/>
      <c r="Y19" s="2" t="s">
        <v>83</v>
      </c>
      <c r="Z19" s="2"/>
      <c r="AA19" s="2" t="s">
        <v>112</v>
      </c>
      <c r="AB19" s="2" t="s">
        <v>113</v>
      </c>
      <c r="AC19" s="2" t="s">
        <v>114</v>
      </c>
      <c r="AD19" s="2" t="s">
        <v>86</v>
      </c>
      <c r="AE19" s="2" t="s">
        <v>115</v>
      </c>
    </row>
    <row r="20" spans="1:31" ht="57.75">
      <c r="A20" s="2" t="s">
        <v>204</v>
      </c>
      <c r="B20" s="2" t="s">
        <v>205</v>
      </c>
      <c r="C20" s="2" t="s">
        <v>206</v>
      </c>
      <c r="D20" s="2" t="s">
        <v>71</v>
      </c>
      <c r="E20" s="2" t="s">
        <v>29</v>
      </c>
      <c r="F20" s="2" t="s">
        <v>199</v>
      </c>
      <c r="G20" s="2" t="s">
        <v>73</v>
      </c>
      <c r="H20" s="2" t="s">
        <v>74</v>
      </c>
      <c r="I20" s="6">
        <v>0.1</v>
      </c>
      <c r="J20" s="2" t="s">
        <v>7</v>
      </c>
      <c r="K20" s="2" t="s">
        <v>75</v>
      </c>
      <c r="L20" s="2" t="s">
        <v>207</v>
      </c>
      <c r="M20" s="6">
        <v>0.32</v>
      </c>
      <c r="N20" s="7">
        <v>320</v>
      </c>
      <c r="O20" s="7">
        <v>100</v>
      </c>
      <c r="P20" s="2" t="s">
        <v>77</v>
      </c>
      <c r="Q20" s="2" t="s">
        <v>8</v>
      </c>
      <c r="R20" s="2" t="s">
        <v>78</v>
      </c>
      <c r="S20" s="2" t="s">
        <v>79</v>
      </c>
      <c r="T20" s="2" t="s">
        <v>208</v>
      </c>
      <c r="U20" s="2" t="s">
        <v>149</v>
      </c>
      <c r="V20" s="2" t="s">
        <v>209</v>
      </c>
      <c r="W20" s="2">
        <v>5</v>
      </c>
      <c r="X20" s="2" t="s">
        <v>74</v>
      </c>
      <c r="Y20" s="2" t="s">
        <v>83</v>
      </c>
      <c r="Z20" s="2"/>
      <c r="AA20" s="2" t="s">
        <v>84</v>
      </c>
      <c r="AB20" s="2" t="s">
        <v>85</v>
      </c>
      <c r="AC20" s="2" t="s">
        <v>79</v>
      </c>
      <c r="AD20" s="2" t="s">
        <v>86</v>
      </c>
      <c r="AE20" s="2" t="s">
        <v>87</v>
      </c>
    </row>
    <row r="21" spans="1:31" ht="57.75">
      <c r="A21" s="2" t="s">
        <v>210</v>
      </c>
      <c r="B21" s="2" t="s">
        <v>211</v>
      </c>
      <c r="C21" s="2" t="s">
        <v>212</v>
      </c>
      <c r="D21" s="2" t="s">
        <v>71</v>
      </c>
      <c r="E21" s="2" t="s">
        <v>29</v>
      </c>
      <c r="F21" s="2" t="s">
        <v>199</v>
      </c>
      <c r="G21" s="2" t="s">
        <v>213</v>
      </c>
      <c r="H21" s="2" t="s">
        <v>132</v>
      </c>
      <c r="I21" s="6">
        <v>0.1</v>
      </c>
      <c r="J21" s="2" t="s">
        <v>18</v>
      </c>
      <c r="K21" s="2" t="s">
        <v>18</v>
      </c>
      <c r="L21" s="2" t="s">
        <v>120</v>
      </c>
      <c r="M21" s="6">
        <v>0</v>
      </c>
      <c r="N21" s="7"/>
      <c r="O21" s="7"/>
      <c r="P21" s="2" t="s">
        <v>92</v>
      </c>
      <c r="Q21" s="2" t="s">
        <v>11</v>
      </c>
      <c r="R21" s="2" t="s">
        <v>78</v>
      </c>
      <c r="S21" s="2" t="s">
        <v>121</v>
      </c>
      <c r="T21" s="2" t="s">
        <v>208</v>
      </c>
      <c r="U21" s="2" t="s">
        <v>133</v>
      </c>
      <c r="V21" s="2" t="s">
        <v>134</v>
      </c>
      <c r="W21" s="2">
        <v>2</v>
      </c>
      <c r="X21" s="2" t="s">
        <v>135</v>
      </c>
      <c r="Y21" s="2" t="s">
        <v>83</v>
      </c>
      <c r="Z21" s="2"/>
      <c r="AA21" s="2" t="s">
        <v>125</v>
      </c>
      <c r="AB21" s="2" t="s">
        <v>214</v>
      </c>
      <c r="AC21" s="2" t="s">
        <v>215</v>
      </c>
      <c r="AD21" s="2" t="s">
        <v>11</v>
      </c>
      <c r="AE21" s="2" t="s">
        <v>78</v>
      </c>
    </row>
    <row r="22" spans="1:31" ht="43.5">
      <c r="A22" s="2" t="s">
        <v>216</v>
      </c>
      <c r="B22" s="2" t="s">
        <v>217</v>
      </c>
      <c r="C22" s="2" t="s">
        <v>218</v>
      </c>
      <c r="D22" s="2" t="s">
        <v>71</v>
      </c>
      <c r="E22" s="2" t="s">
        <v>29</v>
      </c>
      <c r="F22" s="2" t="s">
        <v>219</v>
      </c>
      <c r="G22" s="2" t="s">
        <v>213</v>
      </c>
      <c r="H22" s="2" t="s">
        <v>91</v>
      </c>
      <c r="I22" s="6">
        <v>8</v>
      </c>
      <c r="J22" s="2" t="s">
        <v>18</v>
      </c>
      <c r="K22" s="2" t="s">
        <v>18</v>
      </c>
      <c r="L22" s="2" t="s">
        <v>120</v>
      </c>
      <c r="M22" s="6">
        <v>4.71</v>
      </c>
      <c r="N22" s="7"/>
      <c r="O22" s="7"/>
      <c r="P22" s="2" t="s">
        <v>92</v>
      </c>
      <c r="Q22" s="2" t="s">
        <v>11</v>
      </c>
      <c r="R22" s="2" t="s">
        <v>78</v>
      </c>
      <c r="S22" s="2" t="s">
        <v>121</v>
      </c>
      <c r="T22" s="2" t="s">
        <v>208</v>
      </c>
      <c r="U22" s="2" t="s">
        <v>220</v>
      </c>
      <c r="V22" s="2" t="s">
        <v>221</v>
      </c>
      <c r="W22" s="2">
        <v>1</v>
      </c>
      <c r="X22" s="2" t="s">
        <v>222</v>
      </c>
      <c r="Y22" s="2" t="s">
        <v>223</v>
      </c>
      <c r="Z22" s="2"/>
      <c r="AA22" s="2" t="s">
        <v>125</v>
      </c>
      <c r="AB22" s="2" t="s">
        <v>172</v>
      </c>
      <c r="AC22" s="2" t="s">
        <v>173</v>
      </c>
      <c r="AD22" s="2" t="s">
        <v>11</v>
      </c>
      <c r="AE22" s="2" t="s">
        <v>78</v>
      </c>
    </row>
    <row r="23" spans="1:31" ht="43.5">
      <c r="A23" s="2" t="s">
        <v>224</v>
      </c>
      <c r="B23" s="2" t="s">
        <v>225</v>
      </c>
      <c r="C23" s="2" t="s">
        <v>226</v>
      </c>
      <c r="D23" s="2" t="s">
        <v>71</v>
      </c>
      <c r="E23" s="2" t="s">
        <v>29</v>
      </c>
      <c r="F23" s="2" t="s">
        <v>227</v>
      </c>
      <c r="G23" s="2" t="s">
        <v>213</v>
      </c>
      <c r="H23" s="2" t="s">
        <v>228</v>
      </c>
      <c r="I23" s="6">
        <v>0.1</v>
      </c>
      <c r="J23" s="2" t="s">
        <v>10</v>
      </c>
      <c r="K23" s="2" t="s">
        <v>75</v>
      </c>
      <c r="L23" s="2" t="s">
        <v>229</v>
      </c>
      <c r="M23" s="6">
        <v>0</v>
      </c>
      <c r="N23" s="7">
        <v>100</v>
      </c>
      <c r="O23" s="7">
        <v>100</v>
      </c>
      <c r="P23" s="2" t="s">
        <v>106</v>
      </c>
      <c r="Q23" s="2" t="s">
        <v>8</v>
      </c>
      <c r="R23" s="2" t="s">
        <v>78</v>
      </c>
      <c r="S23" s="2" t="s">
        <v>107</v>
      </c>
      <c r="T23" s="2" t="s">
        <v>208</v>
      </c>
      <c r="U23" s="2" t="s">
        <v>143</v>
      </c>
      <c r="V23" s="2" t="s">
        <v>144</v>
      </c>
      <c r="W23" s="2">
        <v>2</v>
      </c>
      <c r="X23" s="2" t="s">
        <v>230</v>
      </c>
      <c r="Y23" s="2" t="s">
        <v>83</v>
      </c>
      <c r="Z23" s="2" t="s">
        <v>231</v>
      </c>
      <c r="AA23" s="2" t="s">
        <v>112</v>
      </c>
      <c r="AB23" s="2" t="s">
        <v>113</v>
      </c>
      <c r="AC23" s="2" t="s">
        <v>114</v>
      </c>
      <c r="AD23" s="2" t="s">
        <v>86</v>
      </c>
      <c r="AE23" s="2" t="s">
        <v>115</v>
      </c>
    </row>
    <row r="24" spans="1:31" ht="43.5">
      <c r="A24" s="2" t="s">
        <v>232</v>
      </c>
      <c r="B24" s="2" t="s">
        <v>233</v>
      </c>
      <c r="C24" s="2" t="s">
        <v>234</v>
      </c>
      <c r="D24" s="2" t="s">
        <v>71</v>
      </c>
      <c r="E24" s="2" t="s">
        <v>29</v>
      </c>
      <c r="F24" s="2" t="s">
        <v>227</v>
      </c>
      <c r="G24" s="2" t="s">
        <v>213</v>
      </c>
      <c r="H24" s="2" t="s">
        <v>228</v>
      </c>
      <c r="I24" s="6">
        <v>0.1</v>
      </c>
      <c r="J24" s="2" t="s">
        <v>10</v>
      </c>
      <c r="K24" s="2" t="s">
        <v>75</v>
      </c>
      <c r="L24" s="2" t="s">
        <v>229</v>
      </c>
      <c r="M24" s="6">
        <v>0</v>
      </c>
      <c r="N24" s="7">
        <v>100</v>
      </c>
      <c r="O24" s="7">
        <v>100</v>
      </c>
      <c r="P24" s="2" t="s">
        <v>106</v>
      </c>
      <c r="Q24" s="2" t="s">
        <v>8</v>
      </c>
      <c r="R24" s="2" t="s">
        <v>78</v>
      </c>
      <c r="S24" s="2" t="s">
        <v>107</v>
      </c>
      <c r="T24" s="2" t="s">
        <v>208</v>
      </c>
      <c r="U24" s="2" t="s">
        <v>143</v>
      </c>
      <c r="V24" s="2" t="s">
        <v>144</v>
      </c>
      <c r="W24" s="2">
        <v>2</v>
      </c>
      <c r="X24" s="2" t="s">
        <v>230</v>
      </c>
      <c r="Y24" s="2" t="s">
        <v>83</v>
      </c>
      <c r="Z24" s="2" t="s">
        <v>231</v>
      </c>
      <c r="AA24" s="2" t="s">
        <v>112</v>
      </c>
      <c r="AB24" s="2" t="s">
        <v>113</v>
      </c>
      <c r="AC24" s="2" t="s">
        <v>114</v>
      </c>
      <c r="AD24" s="2" t="s">
        <v>86</v>
      </c>
      <c r="AE24" s="2" t="s">
        <v>115</v>
      </c>
    </row>
    <row r="25" spans="1:31" ht="29.25">
      <c r="A25" s="2" t="s">
        <v>235</v>
      </c>
      <c r="B25" s="2" t="s">
        <v>236</v>
      </c>
      <c r="C25" s="2" t="s">
        <v>237</v>
      </c>
      <c r="D25" s="2" t="s">
        <v>71</v>
      </c>
      <c r="E25" s="2" t="s">
        <v>31</v>
      </c>
      <c r="F25" s="2" t="s">
        <v>131</v>
      </c>
      <c r="G25" s="2" t="s">
        <v>200</v>
      </c>
      <c r="H25" s="2" t="s">
        <v>74</v>
      </c>
      <c r="I25" s="6">
        <v>0</v>
      </c>
      <c r="J25" s="2" t="s">
        <v>7</v>
      </c>
      <c r="K25" s="2" t="s">
        <v>75</v>
      </c>
      <c r="L25" s="2" t="s">
        <v>76</v>
      </c>
      <c r="M25" s="6">
        <v>0</v>
      </c>
      <c r="N25" s="7"/>
      <c r="O25" s="7"/>
      <c r="P25" s="2" t="s">
        <v>92</v>
      </c>
      <c r="Q25" s="2" t="s">
        <v>11</v>
      </c>
      <c r="R25" s="2" t="s">
        <v>78</v>
      </c>
      <c r="S25" s="2" t="s">
        <v>238</v>
      </c>
      <c r="T25" s="2" t="s">
        <v>201</v>
      </c>
      <c r="U25" s="2" t="s">
        <v>133</v>
      </c>
      <c r="V25" s="2" t="s">
        <v>134</v>
      </c>
      <c r="W25" s="2">
        <v>2</v>
      </c>
      <c r="X25" s="2" t="s">
        <v>135</v>
      </c>
      <c r="Y25" s="2" t="s">
        <v>135</v>
      </c>
      <c r="Z25" s="2"/>
      <c r="AA25" s="2" t="s">
        <v>125</v>
      </c>
      <c r="AB25" s="2" t="s">
        <v>239</v>
      </c>
      <c r="AC25" s="2" t="s">
        <v>238</v>
      </c>
      <c r="AD25" s="2" t="s">
        <v>11</v>
      </c>
      <c r="AE25" s="2" t="s">
        <v>78</v>
      </c>
    </row>
    <row r="26" spans="1:31" ht="29.25">
      <c r="A26" s="2" t="s">
        <v>240</v>
      </c>
      <c r="B26" s="2" t="s">
        <v>241</v>
      </c>
      <c r="C26" s="2" t="s">
        <v>242</v>
      </c>
      <c r="D26" s="2" t="s">
        <v>71</v>
      </c>
      <c r="E26" s="2" t="s">
        <v>29</v>
      </c>
      <c r="F26" s="2" t="s">
        <v>131</v>
      </c>
      <c r="G26" s="2" t="s">
        <v>213</v>
      </c>
      <c r="H26" s="2" t="s">
        <v>132</v>
      </c>
      <c r="I26" s="6">
        <v>0</v>
      </c>
      <c r="J26" s="2" t="s">
        <v>10</v>
      </c>
      <c r="K26" s="2" t="s">
        <v>75</v>
      </c>
      <c r="L26" s="2" t="s">
        <v>229</v>
      </c>
      <c r="M26" s="6">
        <v>0</v>
      </c>
      <c r="N26" s="7"/>
      <c r="O26" s="7"/>
      <c r="P26" s="2" t="s">
        <v>77</v>
      </c>
      <c r="Q26" s="2" t="s">
        <v>8</v>
      </c>
      <c r="R26" s="2" t="s">
        <v>78</v>
      </c>
      <c r="S26" s="2" t="s">
        <v>243</v>
      </c>
      <c r="T26" s="2" t="s">
        <v>208</v>
      </c>
      <c r="U26" s="2" t="s">
        <v>133</v>
      </c>
      <c r="V26" s="2" t="s">
        <v>134</v>
      </c>
      <c r="W26" s="2">
        <v>2</v>
      </c>
      <c r="X26" s="2" t="s">
        <v>135</v>
      </c>
      <c r="Y26" s="2" t="s">
        <v>135</v>
      </c>
      <c r="Z26" s="2"/>
      <c r="AA26" s="2" t="s">
        <v>125</v>
      </c>
      <c r="AB26" s="2" t="s">
        <v>244</v>
      </c>
      <c r="AC26" s="2" t="s">
        <v>245</v>
      </c>
      <c r="AD26" s="2" t="s">
        <v>11</v>
      </c>
      <c r="AE26" s="2" t="s">
        <v>78</v>
      </c>
    </row>
    <row r="27" spans="1:31" ht="29.25">
      <c r="A27" s="2" t="s">
        <v>246</v>
      </c>
      <c r="B27" s="2" t="s">
        <v>247</v>
      </c>
      <c r="C27" s="2" t="s">
        <v>248</v>
      </c>
      <c r="D27" s="2" t="s">
        <v>71</v>
      </c>
      <c r="E27" s="2" t="s">
        <v>29</v>
      </c>
      <c r="F27" s="2" t="s">
        <v>249</v>
      </c>
      <c r="G27" s="2" t="s">
        <v>213</v>
      </c>
      <c r="H27" s="2" t="s">
        <v>132</v>
      </c>
      <c r="I27" s="6">
        <v>0</v>
      </c>
      <c r="J27" s="2" t="s">
        <v>10</v>
      </c>
      <c r="K27" s="2" t="s">
        <v>75</v>
      </c>
      <c r="L27" s="2" t="s">
        <v>229</v>
      </c>
      <c r="M27" s="6">
        <v>0.14000000000000001</v>
      </c>
      <c r="N27" s="7"/>
      <c r="O27" s="7"/>
      <c r="P27" s="2" t="s">
        <v>77</v>
      </c>
      <c r="Q27" s="2" t="s">
        <v>8</v>
      </c>
      <c r="R27" s="2" t="s">
        <v>78</v>
      </c>
      <c r="S27" s="2" t="s">
        <v>243</v>
      </c>
      <c r="T27" s="2" t="s">
        <v>208</v>
      </c>
      <c r="U27" s="2" t="s">
        <v>249</v>
      </c>
      <c r="V27" s="2" t="s">
        <v>250</v>
      </c>
      <c r="W27" s="2">
        <v>1</v>
      </c>
      <c r="X27" s="2" t="s">
        <v>135</v>
      </c>
      <c r="Y27" s="2" t="s">
        <v>135</v>
      </c>
      <c r="Z27" s="2"/>
      <c r="AA27" s="2" t="s">
        <v>125</v>
      </c>
      <c r="AB27" s="2" t="s">
        <v>244</v>
      </c>
      <c r="AC27" s="2" t="s">
        <v>245</v>
      </c>
      <c r="AD27" s="2" t="s">
        <v>11</v>
      </c>
      <c r="AE27" s="2" t="s">
        <v>78</v>
      </c>
    </row>
    <row r="28" spans="1:31" ht="43.5">
      <c r="A28" s="2" t="s">
        <v>251</v>
      </c>
      <c r="B28" s="2" t="s">
        <v>252</v>
      </c>
      <c r="C28" s="2" t="s">
        <v>253</v>
      </c>
      <c r="D28" s="2" t="s">
        <v>71</v>
      </c>
      <c r="E28" s="2" t="s">
        <v>31</v>
      </c>
      <c r="F28" s="2" t="s">
        <v>254</v>
      </c>
      <c r="G28" s="2" t="s">
        <v>18</v>
      </c>
      <c r="H28" s="2" t="s">
        <v>91</v>
      </c>
      <c r="I28" s="6">
        <v>0.1</v>
      </c>
      <c r="J28" s="2" t="s">
        <v>10</v>
      </c>
      <c r="K28" s="2" t="s">
        <v>75</v>
      </c>
      <c r="L28" s="2" t="s">
        <v>229</v>
      </c>
      <c r="M28" s="6">
        <v>4.66</v>
      </c>
      <c r="N28" s="7">
        <v>2.1459227467811157</v>
      </c>
      <c r="O28" s="7">
        <v>2.1459227467811157</v>
      </c>
      <c r="P28" s="2" t="s">
        <v>92</v>
      </c>
      <c r="Q28" s="2" t="s">
        <v>11</v>
      </c>
      <c r="R28" s="2" t="s">
        <v>78</v>
      </c>
      <c r="S28" s="2" t="s">
        <v>121</v>
      </c>
      <c r="T28" s="2" t="s">
        <v>122</v>
      </c>
      <c r="U28" s="2" t="s">
        <v>255</v>
      </c>
      <c r="V28" s="2" t="s">
        <v>256</v>
      </c>
      <c r="W28" s="2">
        <v>4</v>
      </c>
      <c r="X28" s="2" t="s">
        <v>257</v>
      </c>
      <c r="Y28" s="2" t="s">
        <v>83</v>
      </c>
      <c r="Z28" s="2"/>
      <c r="AA28" s="2" t="s">
        <v>125</v>
      </c>
      <c r="AB28" s="2" t="s">
        <v>258</v>
      </c>
      <c r="AC28" s="2" t="s">
        <v>259</v>
      </c>
      <c r="AD28" s="2" t="s">
        <v>11</v>
      </c>
      <c r="AE28" s="2" t="s">
        <v>78</v>
      </c>
    </row>
    <row r="29" spans="1:31" ht="43.5">
      <c r="A29" s="2" t="s">
        <v>260</v>
      </c>
      <c r="B29" s="2" t="s">
        <v>261</v>
      </c>
      <c r="C29" s="2" t="s">
        <v>262</v>
      </c>
      <c r="D29" s="2" t="s">
        <v>71</v>
      </c>
      <c r="E29" s="2" t="s">
        <v>29</v>
      </c>
      <c r="F29" s="2" t="s">
        <v>199</v>
      </c>
      <c r="G29" s="2" t="s">
        <v>213</v>
      </c>
      <c r="H29" s="2" t="s">
        <v>91</v>
      </c>
      <c r="I29" s="6">
        <v>0.03</v>
      </c>
      <c r="J29" s="2" t="s">
        <v>18</v>
      </c>
      <c r="K29" s="2" t="s">
        <v>18</v>
      </c>
      <c r="L29" s="2" t="s">
        <v>120</v>
      </c>
      <c r="M29" s="6">
        <v>7.0000000000000007E-2</v>
      </c>
      <c r="N29" s="7"/>
      <c r="O29" s="7"/>
      <c r="P29" s="2" t="s">
        <v>92</v>
      </c>
      <c r="Q29" s="2" t="s">
        <v>11</v>
      </c>
      <c r="R29" s="2" t="s">
        <v>78</v>
      </c>
      <c r="S29" s="2" t="s">
        <v>121</v>
      </c>
      <c r="T29" s="2" t="s">
        <v>208</v>
      </c>
      <c r="U29" s="2" t="s">
        <v>119</v>
      </c>
      <c r="V29" s="2" t="s">
        <v>123</v>
      </c>
      <c r="W29" s="2">
        <v>2</v>
      </c>
      <c r="X29" s="2" t="s">
        <v>257</v>
      </c>
      <c r="Y29" s="2" t="s">
        <v>263</v>
      </c>
      <c r="Z29" s="2"/>
      <c r="AA29" s="2" t="s">
        <v>125</v>
      </c>
      <c r="AB29" s="2" t="s">
        <v>172</v>
      </c>
      <c r="AC29" s="2" t="s">
        <v>173</v>
      </c>
      <c r="AD29" s="2" t="s">
        <v>11</v>
      </c>
      <c r="AE29" s="2" t="s">
        <v>78</v>
      </c>
    </row>
    <row r="30" spans="1:31" ht="43.5">
      <c r="A30" s="2" t="s">
        <v>264</v>
      </c>
      <c r="B30" s="2" t="s">
        <v>265</v>
      </c>
      <c r="C30" s="2" t="s">
        <v>266</v>
      </c>
      <c r="D30" s="2" t="s">
        <v>71</v>
      </c>
      <c r="E30" s="2" t="s">
        <v>29</v>
      </c>
      <c r="F30" s="2" t="s">
        <v>267</v>
      </c>
      <c r="G30" s="2" t="s">
        <v>213</v>
      </c>
      <c r="H30" s="2" t="s">
        <v>268</v>
      </c>
      <c r="I30" s="6">
        <v>0.05</v>
      </c>
      <c r="J30" s="2" t="s">
        <v>10</v>
      </c>
      <c r="K30" s="2" t="s">
        <v>75</v>
      </c>
      <c r="L30" s="2" t="s">
        <v>229</v>
      </c>
      <c r="M30" s="6">
        <v>0.09</v>
      </c>
      <c r="N30" s="7">
        <v>55.555555555555557</v>
      </c>
      <c r="O30" s="7">
        <v>55.555555555555557</v>
      </c>
      <c r="P30" s="2" t="s">
        <v>106</v>
      </c>
      <c r="Q30" s="2" t="s">
        <v>8</v>
      </c>
      <c r="R30" s="2" t="s">
        <v>78</v>
      </c>
      <c r="S30" s="2" t="s">
        <v>107</v>
      </c>
      <c r="T30" s="2" t="s">
        <v>208</v>
      </c>
      <c r="U30" s="2" t="s">
        <v>269</v>
      </c>
      <c r="V30" s="2" t="s">
        <v>270</v>
      </c>
      <c r="W30" s="2">
        <v>5</v>
      </c>
      <c r="X30" s="2" t="s">
        <v>271</v>
      </c>
      <c r="Y30" s="2" t="s">
        <v>272</v>
      </c>
      <c r="Z30" s="2"/>
      <c r="AA30" s="2" t="s">
        <v>112</v>
      </c>
      <c r="AB30" s="2" t="s">
        <v>113</v>
      </c>
      <c r="AC30" s="2" t="s">
        <v>114</v>
      </c>
      <c r="AD30" s="2" t="s">
        <v>86</v>
      </c>
      <c r="AE30" s="2" t="s">
        <v>115</v>
      </c>
    </row>
    <row r="31" spans="1:31" ht="43.5">
      <c r="A31" s="2" t="s">
        <v>273</v>
      </c>
      <c r="B31" s="2" t="s">
        <v>274</v>
      </c>
      <c r="C31" s="2" t="s">
        <v>275</v>
      </c>
      <c r="D31" s="2" t="s">
        <v>71</v>
      </c>
      <c r="E31" s="2" t="s">
        <v>25</v>
      </c>
      <c r="F31" s="2" t="s">
        <v>199</v>
      </c>
      <c r="G31" s="2" t="s">
        <v>200</v>
      </c>
      <c r="H31" s="2" t="s">
        <v>74</v>
      </c>
      <c r="I31" s="6">
        <v>0.1</v>
      </c>
      <c r="J31" s="2" t="s">
        <v>7</v>
      </c>
      <c r="K31" s="2" t="s">
        <v>75</v>
      </c>
      <c r="L31" s="2" t="s">
        <v>276</v>
      </c>
      <c r="M31" s="6">
        <v>0</v>
      </c>
      <c r="N31" s="7">
        <v>0</v>
      </c>
      <c r="O31" s="7">
        <v>0</v>
      </c>
      <c r="P31" s="2" t="s">
        <v>106</v>
      </c>
      <c r="Q31" s="2" t="s">
        <v>8</v>
      </c>
      <c r="R31" s="2" t="s">
        <v>78</v>
      </c>
      <c r="S31" s="2" t="s">
        <v>107</v>
      </c>
      <c r="T31" s="2" t="s">
        <v>201</v>
      </c>
      <c r="U31" s="2" t="s">
        <v>119</v>
      </c>
      <c r="V31" s="2" t="s">
        <v>123</v>
      </c>
      <c r="W31" s="2">
        <v>2</v>
      </c>
      <c r="X31" s="2" t="s">
        <v>135</v>
      </c>
      <c r="Y31" s="2" t="s">
        <v>83</v>
      </c>
      <c r="Z31" s="2"/>
      <c r="AA31" s="2" t="s">
        <v>112</v>
      </c>
      <c r="AB31" s="2" t="s">
        <v>113</v>
      </c>
      <c r="AC31" s="2" t="s">
        <v>114</v>
      </c>
      <c r="AD31" s="2" t="s">
        <v>86</v>
      </c>
      <c r="AE31" s="2" t="s">
        <v>115</v>
      </c>
    </row>
    <row r="32" spans="1:31" ht="43.5">
      <c r="A32" s="2" t="s">
        <v>277</v>
      </c>
      <c r="B32" s="2" t="s">
        <v>278</v>
      </c>
      <c r="C32" s="2" t="s">
        <v>279</v>
      </c>
      <c r="D32" s="2" t="s">
        <v>71</v>
      </c>
      <c r="E32" s="2" t="s">
        <v>31</v>
      </c>
      <c r="F32" s="2" t="s">
        <v>280</v>
      </c>
      <c r="G32" s="2" t="s">
        <v>18</v>
      </c>
      <c r="H32" s="2" t="s">
        <v>74</v>
      </c>
      <c r="I32" s="6">
        <v>0.1</v>
      </c>
      <c r="J32" s="2" t="s">
        <v>7</v>
      </c>
      <c r="K32" s="2" t="s">
        <v>75</v>
      </c>
      <c r="L32" s="2" t="s">
        <v>76</v>
      </c>
      <c r="M32" s="6">
        <v>0.1</v>
      </c>
      <c r="N32" s="7">
        <v>100</v>
      </c>
      <c r="O32" s="7">
        <v>100</v>
      </c>
      <c r="P32" s="2" t="s">
        <v>92</v>
      </c>
      <c r="Q32" s="2" t="s">
        <v>11</v>
      </c>
      <c r="R32" s="2" t="s">
        <v>78</v>
      </c>
      <c r="S32" s="2" t="s">
        <v>121</v>
      </c>
      <c r="T32" s="2" t="s">
        <v>122</v>
      </c>
      <c r="U32" s="2" t="s">
        <v>281</v>
      </c>
      <c r="V32" s="2" t="s">
        <v>282</v>
      </c>
      <c r="W32" s="2">
        <v>3</v>
      </c>
      <c r="X32" s="2" t="s">
        <v>135</v>
      </c>
      <c r="Y32" s="2" t="s">
        <v>83</v>
      </c>
      <c r="Z32" s="2"/>
      <c r="AA32" s="2" t="s">
        <v>125</v>
      </c>
      <c r="AB32" s="2" t="s">
        <v>258</v>
      </c>
      <c r="AC32" s="2" t="s">
        <v>259</v>
      </c>
      <c r="AD32" s="2" t="s">
        <v>11</v>
      </c>
      <c r="AE32" s="2" t="s">
        <v>78</v>
      </c>
    </row>
    <row r="33" spans="1:31" ht="43.5">
      <c r="A33" s="2" t="s">
        <v>283</v>
      </c>
      <c r="B33" s="2" t="s">
        <v>278</v>
      </c>
      <c r="C33" s="2" t="s">
        <v>284</v>
      </c>
      <c r="D33" s="2" t="s">
        <v>71</v>
      </c>
      <c r="E33" s="2" t="s">
        <v>25</v>
      </c>
      <c r="F33" s="2" t="s">
        <v>199</v>
      </c>
      <c r="G33" s="2" t="s">
        <v>200</v>
      </c>
      <c r="H33" s="2" t="s">
        <v>91</v>
      </c>
      <c r="I33" s="6">
        <v>0.1</v>
      </c>
      <c r="J33" s="2" t="s">
        <v>7</v>
      </c>
      <c r="K33" s="2" t="s">
        <v>75</v>
      </c>
      <c r="L33" s="2" t="s">
        <v>276</v>
      </c>
      <c r="M33" s="6">
        <v>0.06</v>
      </c>
      <c r="N33" s="7">
        <v>60</v>
      </c>
      <c r="O33" s="7">
        <v>60</v>
      </c>
      <c r="P33" s="2" t="s">
        <v>106</v>
      </c>
      <c r="Q33" s="2" t="s">
        <v>8</v>
      </c>
      <c r="R33" s="2" t="s">
        <v>78</v>
      </c>
      <c r="S33" s="2" t="s">
        <v>107</v>
      </c>
      <c r="T33" s="2" t="s">
        <v>201</v>
      </c>
      <c r="U33" s="2" t="s">
        <v>119</v>
      </c>
      <c r="V33" s="2" t="s">
        <v>123</v>
      </c>
      <c r="W33" s="2">
        <v>2</v>
      </c>
      <c r="X33" s="2" t="s">
        <v>257</v>
      </c>
      <c r="Y33" s="2" t="s">
        <v>83</v>
      </c>
      <c r="Z33" s="2"/>
      <c r="AA33" s="2" t="s">
        <v>112</v>
      </c>
      <c r="AB33" s="2" t="s">
        <v>113</v>
      </c>
      <c r="AC33" s="2" t="s">
        <v>114</v>
      </c>
      <c r="AD33" s="2" t="s">
        <v>86</v>
      </c>
      <c r="AE33" s="2" t="s">
        <v>115</v>
      </c>
    </row>
    <row r="34" spans="1:31" ht="43.5">
      <c r="A34" s="2" t="s">
        <v>285</v>
      </c>
      <c r="B34" s="2" t="s">
        <v>286</v>
      </c>
      <c r="C34" s="2" t="s">
        <v>287</v>
      </c>
      <c r="D34" s="2" t="s">
        <v>71</v>
      </c>
      <c r="E34" s="2" t="s">
        <v>25</v>
      </c>
      <c r="F34" s="2" t="s">
        <v>199</v>
      </c>
      <c r="G34" s="2" t="s">
        <v>200</v>
      </c>
      <c r="H34" s="2" t="s">
        <v>74</v>
      </c>
      <c r="I34" s="6">
        <v>0.1</v>
      </c>
      <c r="J34" s="2" t="s">
        <v>7</v>
      </c>
      <c r="K34" s="2" t="s">
        <v>75</v>
      </c>
      <c r="L34" s="2" t="s">
        <v>76</v>
      </c>
      <c r="M34" s="6">
        <v>0.1</v>
      </c>
      <c r="N34" s="7">
        <v>100</v>
      </c>
      <c r="O34" s="7">
        <v>100</v>
      </c>
      <c r="P34" s="2" t="s">
        <v>106</v>
      </c>
      <c r="Q34" s="2" t="s">
        <v>8</v>
      </c>
      <c r="R34" s="2" t="s">
        <v>78</v>
      </c>
      <c r="S34" s="2" t="s">
        <v>107</v>
      </c>
      <c r="T34" s="2" t="s">
        <v>201</v>
      </c>
      <c r="U34" s="2" t="s">
        <v>149</v>
      </c>
      <c r="V34" s="2" t="s">
        <v>151</v>
      </c>
      <c r="W34" s="2">
        <v>1</v>
      </c>
      <c r="X34" s="2" t="s">
        <v>135</v>
      </c>
      <c r="Y34" s="2" t="s">
        <v>83</v>
      </c>
      <c r="Z34" s="2"/>
      <c r="AA34" s="2" t="s">
        <v>112</v>
      </c>
      <c r="AB34" s="2" t="s">
        <v>113</v>
      </c>
      <c r="AC34" s="2" t="s">
        <v>114</v>
      </c>
      <c r="AD34" s="2" t="s">
        <v>86</v>
      </c>
      <c r="AE34" s="2" t="s">
        <v>115</v>
      </c>
    </row>
    <row r="35" spans="1:31" ht="43.5">
      <c r="A35" s="2" t="s">
        <v>288</v>
      </c>
      <c r="B35" s="2" t="s">
        <v>289</v>
      </c>
      <c r="C35" s="2" t="s">
        <v>290</v>
      </c>
      <c r="D35" s="2" t="s">
        <v>71</v>
      </c>
      <c r="E35" s="2" t="s">
        <v>29</v>
      </c>
      <c r="F35" s="2" t="s">
        <v>249</v>
      </c>
      <c r="G35" s="2" t="s">
        <v>213</v>
      </c>
      <c r="H35" s="2" t="s">
        <v>91</v>
      </c>
      <c r="I35" s="6">
        <v>0.05</v>
      </c>
      <c r="J35" s="2" t="s">
        <v>10</v>
      </c>
      <c r="K35" s="2" t="s">
        <v>75</v>
      </c>
      <c r="L35" s="2" t="s">
        <v>229</v>
      </c>
      <c r="M35" s="6">
        <v>0.6</v>
      </c>
      <c r="N35" s="7">
        <v>8.3333333333333339</v>
      </c>
      <c r="O35" s="7">
        <v>8.3333333333333339</v>
      </c>
      <c r="P35" s="2" t="s">
        <v>106</v>
      </c>
      <c r="Q35" s="2" t="s">
        <v>8</v>
      </c>
      <c r="R35" s="2" t="s">
        <v>78</v>
      </c>
      <c r="S35" s="2" t="s">
        <v>107</v>
      </c>
      <c r="T35" s="2" t="s">
        <v>208</v>
      </c>
      <c r="U35" s="2" t="s">
        <v>291</v>
      </c>
      <c r="V35" s="2" t="s">
        <v>292</v>
      </c>
      <c r="W35" s="2">
        <v>5</v>
      </c>
      <c r="X35" s="2" t="s">
        <v>222</v>
      </c>
      <c r="Y35" s="2" t="s">
        <v>272</v>
      </c>
      <c r="Z35" s="2"/>
      <c r="AA35" s="2" t="s">
        <v>112</v>
      </c>
      <c r="AB35" s="2" t="s">
        <v>113</v>
      </c>
      <c r="AC35" s="2" t="s">
        <v>114</v>
      </c>
      <c r="AD35" s="2" t="s">
        <v>86</v>
      </c>
      <c r="AE35" s="2" t="s">
        <v>115</v>
      </c>
    </row>
    <row r="36" spans="1:31" ht="43.5">
      <c r="A36" s="2" t="s">
        <v>293</v>
      </c>
      <c r="B36" s="2" t="s">
        <v>294</v>
      </c>
      <c r="C36" s="2" t="s">
        <v>295</v>
      </c>
      <c r="D36" s="2" t="s">
        <v>71</v>
      </c>
      <c r="E36" s="2" t="s">
        <v>25</v>
      </c>
      <c r="F36" s="2" t="s">
        <v>199</v>
      </c>
      <c r="G36" s="2" t="s">
        <v>200</v>
      </c>
      <c r="H36" s="2" t="s">
        <v>74</v>
      </c>
      <c r="I36" s="6">
        <v>0.1</v>
      </c>
      <c r="J36" s="2" t="s">
        <v>7</v>
      </c>
      <c r="K36" s="2" t="s">
        <v>75</v>
      </c>
      <c r="L36" s="2" t="s">
        <v>76</v>
      </c>
      <c r="M36" s="6">
        <v>0</v>
      </c>
      <c r="N36" s="7">
        <v>0</v>
      </c>
      <c r="O36" s="7">
        <v>0</v>
      </c>
      <c r="P36" s="2" t="s">
        <v>106</v>
      </c>
      <c r="Q36" s="2" t="s">
        <v>8</v>
      </c>
      <c r="R36" s="2" t="s">
        <v>78</v>
      </c>
      <c r="S36" s="2" t="s">
        <v>107</v>
      </c>
      <c r="T36" s="2" t="s">
        <v>201</v>
      </c>
      <c r="U36" s="2" t="s">
        <v>108</v>
      </c>
      <c r="V36" s="2" t="s">
        <v>108</v>
      </c>
      <c r="W36" s="2">
        <v>1</v>
      </c>
      <c r="X36" s="2" t="s">
        <v>74</v>
      </c>
      <c r="Y36" s="2" t="s">
        <v>83</v>
      </c>
      <c r="Z36" s="2"/>
      <c r="AA36" s="2" t="s">
        <v>112</v>
      </c>
      <c r="AB36" s="2" t="s">
        <v>113</v>
      </c>
      <c r="AC36" s="2" t="s">
        <v>114</v>
      </c>
      <c r="AD36" s="2" t="s">
        <v>86</v>
      </c>
      <c r="AE36" s="2" t="s">
        <v>115</v>
      </c>
    </row>
    <row r="37" spans="1:31" ht="43.5">
      <c r="A37" s="2" t="s">
        <v>296</v>
      </c>
      <c r="B37" s="2" t="s">
        <v>297</v>
      </c>
      <c r="C37" s="2" t="s">
        <v>298</v>
      </c>
      <c r="D37" s="2" t="s">
        <v>71</v>
      </c>
      <c r="E37" s="2" t="s">
        <v>25</v>
      </c>
      <c r="F37" s="2" t="s">
        <v>199</v>
      </c>
      <c r="G37" s="2" t="s">
        <v>200</v>
      </c>
      <c r="H37" s="2" t="s">
        <v>91</v>
      </c>
      <c r="I37" s="6">
        <v>0.2</v>
      </c>
      <c r="J37" s="2" t="s">
        <v>7</v>
      </c>
      <c r="K37" s="2" t="s">
        <v>75</v>
      </c>
      <c r="L37" s="2" t="s">
        <v>76</v>
      </c>
      <c r="M37" s="6">
        <v>0</v>
      </c>
      <c r="N37" s="7">
        <v>0</v>
      </c>
      <c r="O37" s="7">
        <v>0</v>
      </c>
      <c r="P37" s="2" t="s">
        <v>106</v>
      </c>
      <c r="Q37" s="2" t="s">
        <v>8</v>
      </c>
      <c r="R37" s="2" t="s">
        <v>78</v>
      </c>
      <c r="S37" s="2" t="s">
        <v>107</v>
      </c>
      <c r="T37" s="2" t="s">
        <v>201</v>
      </c>
      <c r="U37" s="2" t="s">
        <v>108</v>
      </c>
      <c r="V37" s="2" t="s">
        <v>108</v>
      </c>
      <c r="W37" s="2">
        <v>1</v>
      </c>
      <c r="X37" s="2" t="s">
        <v>222</v>
      </c>
      <c r="Y37" s="2" t="s">
        <v>96</v>
      </c>
      <c r="Z37" s="2"/>
      <c r="AA37" s="2" t="s">
        <v>112</v>
      </c>
      <c r="AB37" s="2" t="s">
        <v>113</v>
      </c>
      <c r="AC37" s="2" t="s">
        <v>114</v>
      </c>
      <c r="AD37" s="2" t="s">
        <v>86</v>
      </c>
      <c r="AE37" s="2" t="s">
        <v>115</v>
      </c>
    </row>
    <row r="38" spans="1:31" ht="43.5">
      <c r="A38" s="2" t="s">
        <v>299</v>
      </c>
      <c r="B38" s="2" t="s">
        <v>300</v>
      </c>
      <c r="C38" s="2" t="s">
        <v>301</v>
      </c>
      <c r="D38" s="2" t="s">
        <v>71</v>
      </c>
      <c r="E38" s="2" t="s">
        <v>25</v>
      </c>
      <c r="F38" s="2" t="s">
        <v>199</v>
      </c>
      <c r="G38" s="2" t="s">
        <v>200</v>
      </c>
      <c r="H38" s="2" t="s">
        <v>91</v>
      </c>
      <c r="I38" s="6">
        <v>0.2</v>
      </c>
      <c r="J38" s="2" t="s">
        <v>7</v>
      </c>
      <c r="K38" s="2" t="s">
        <v>75</v>
      </c>
      <c r="L38" s="2" t="s">
        <v>76</v>
      </c>
      <c r="M38" s="6">
        <v>0</v>
      </c>
      <c r="N38" s="7">
        <v>0</v>
      </c>
      <c r="O38" s="7">
        <v>0</v>
      </c>
      <c r="P38" s="2" t="s">
        <v>106</v>
      </c>
      <c r="Q38" s="2" t="s">
        <v>8</v>
      </c>
      <c r="R38" s="2" t="s">
        <v>78</v>
      </c>
      <c r="S38" s="2" t="s">
        <v>107</v>
      </c>
      <c r="T38" s="2" t="s">
        <v>201</v>
      </c>
      <c r="U38" s="2" t="s">
        <v>108</v>
      </c>
      <c r="V38" s="2" t="s">
        <v>108</v>
      </c>
      <c r="W38" s="2">
        <v>1</v>
      </c>
      <c r="X38" s="2" t="s">
        <v>222</v>
      </c>
      <c r="Y38" s="2" t="s">
        <v>96</v>
      </c>
      <c r="Z38" s="2"/>
      <c r="AA38" s="2" t="s">
        <v>112</v>
      </c>
      <c r="AB38" s="2" t="s">
        <v>113</v>
      </c>
      <c r="AC38" s="2" t="s">
        <v>114</v>
      </c>
      <c r="AD38" s="2" t="s">
        <v>86</v>
      </c>
      <c r="AE38" s="2" t="s">
        <v>115</v>
      </c>
    </row>
    <row r="39" spans="1:31" ht="43.5">
      <c r="A39" s="2" t="s">
        <v>302</v>
      </c>
      <c r="B39" s="2" t="s">
        <v>303</v>
      </c>
      <c r="C39" s="2" t="s">
        <v>304</v>
      </c>
      <c r="D39" s="2" t="s">
        <v>71</v>
      </c>
      <c r="E39" s="2" t="s">
        <v>25</v>
      </c>
      <c r="F39" s="2" t="s">
        <v>199</v>
      </c>
      <c r="G39" s="2" t="s">
        <v>200</v>
      </c>
      <c r="H39" s="2" t="s">
        <v>91</v>
      </c>
      <c r="I39" s="6">
        <v>0.2</v>
      </c>
      <c r="J39" s="2" t="s">
        <v>7</v>
      </c>
      <c r="K39" s="2" t="s">
        <v>75</v>
      </c>
      <c r="L39" s="2" t="s">
        <v>76</v>
      </c>
      <c r="M39" s="6">
        <v>0</v>
      </c>
      <c r="N39" s="7">
        <v>0</v>
      </c>
      <c r="O39" s="7">
        <v>0</v>
      </c>
      <c r="P39" s="2" t="s">
        <v>106</v>
      </c>
      <c r="Q39" s="2" t="s">
        <v>8</v>
      </c>
      <c r="R39" s="2" t="s">
        <v>78</v>
      </c>
      <c r="S39" s="2" t="s">
        <v>107</v>
      </c>
      <c r="T39" s="2" t="s">
        <v>201</v>
      </c>
      <c r="U39" s="2" t="s">
        <v>108</v>
      </c>
      <c r="V39" s="2" t="s">
        <v>108</v>
      </c>
      <c r="W39" s="2">
        <v>1</v>
      </c>
      <c r="X39" s="2" t="s">
        <v>222</v>
      </c>
      <c r="Y39" s="2" t="s">
        <v>96</v>
      </c>
      <c r="Z39" s="2"/>
      <c r="AA39" s="2" t="s">
        <v>112</v>
      </c>
      <c r="AB39" s="2" t="s">
        <v>113</v>
      </c>
      <c r="AC39" s="2" t="s">
        <v>114</v>
      </c>
      <c r="AD39" s="2" t="s">
        <v>86</v>
      </c>
      <c r="AE39" s="2" t="s">
        <v>115</v>
      </c>
    </row>
    <row r="40" spans="1:31" ht="29.25">
      <c r="A40" s="2" t="s">
        <v>305</v>
      </c>
      <c r="B40" s="2" t="s">
        <v>306</v>
      </c>
      <c r="C40" s="2" t="s">
        <v>307</v>
      </c>
      <c r="D40" s="2" t="s">
        <v>71</v>
      </c>
      <c r="E40" s="2" t="s">
        <v>29</v>
      </c>
      <c r="F40" s="2" t="s">
        <v>141</v>
      </c>
      <c r="G40" s="2" t="s">
        <v>213</v>
      </c>
      <c r="H40" s="2" t="s">
        <v>132</v>
      </c>
      <c r="I40" s="6">
        <v>0.05</v>
      </c>
      <c r="J40" s="2" t="s">
        <v>10</v>
      </c>
      <c r="K40" s="2" t="s">
        <v>75</v>
      </c>
      <c r="L40" s="2" t="s">
        <v>229</v>
      </c>
      <c r="M40" s="6">
        <v>0</v>
      </c>
      <c r="N40" s="7">
        <v>100</v>
      </c>
      <c r="O40" s="7">
        <v>100</v>
      </c>
      <c r="P40" s="2" t="s">
        <v>77</v>
      </c>
      <c r="Q40" s="2" t="s">
        <v>8</v>
      </c>
      <c r="R40" s="2" t="s">
        <v>78</v>
      </c>
      <c r="S40" s="2" t="s">
        <v>243</v>
      </c>
      <c r="T40" s="2" t="s">
        <v>208</v>
      </c>
      <c r="U40" s="2" t="s">
        <v>143</v>
      </c>
      <c r="V40" s="2" t="s">
        <v>144</v>
      </c>
      <c r="W40" s="2">
        <v>2</v>
      </c>
      <c r="X40" s="2" t="s">
        <v>135</v>
      </c>
      <c r="Y40" s="2" t="s">
        <v>272</v>
      </c>
      <c r="Z40" s="2" t="s">
        <v>231</v>
      </c>
      <c r="AA40" s="2" t="s">
        <v>125</v>
      </c>
      <c r="AB40" s="2" t="s">
        <v>244</v>
      </c>
      <c r="AC40" s="2" t="s">
        <v>245</v>
      </c>
      <c r="AD40" s="2" t="s">
        <v>11</v>
      </c>
      <c r="AE40" s="2" t="s">
        <v>78</v>
      </c>
    </row>
    <row r="41" spans="1:31" ht="72">
      <c r="A41" s="2" t="s">
        <v>308</v>
      </c>
      <c r="B41" s="2" t="s">
        <v>309</v>
      </c>
      <c r="C41" s="2" t="s">
        <v>310</v>
      </c>
      <c r="D41" s="2" t="s">
        <v>71</v>
      </c>
      <c r="E41" s="2" t="s">
        <v>34</v>
      </c>
      <c r="F41" s="2" t="s">
        <v>311</v>
      </c>
      <c r="G41" s="2" t="s">
        <v>312</v>
      </c>
      <c r="H41" s="2" t="s">
        <v>313</v>
      </c>
      <c r="I41" s="6">
        <v>1</v>
      </c>
      <c r="J41" s="2" t="s">
        <v>10</v>
      </c>
      <c r="K41" s="2" t="s">
        <v>314</v>
      </c>
      <c r="L41" s="2" t="s">
        <v>315</v>
      </c>
      <c r="M41" s="6">
        <v>1</v>
      </c>
      <c r="N41" s="7"/>
      <c r="O41" s="7"/>
      <c r="P41" s="2" t="s">
        <v>92</v>
      </c>
      <c r="Q41" s="2" t="s">
        <v>11</v>
      </c>
      <c r="R41" s="2" t="s">
        <v>78</v>
      </c>
      <c r="S41" s="2" t="s">
        <v>316</v>
      </c>
      <c r="T41" s="2" t="s">
        <v>317</v>
      </c>
      <c r="U41" s="2" t="s">
        <v>318</v>
      </c>
      <c r="V41" s="2" t="s">
        <v>319</v>
      </c>
      <c r="W41" s="2">
        <v>16</v>
      </c>
      <c r="X41" s="2" t="s">
        <v>320</v>
      </c>
      <c r="Y41" s="2" t="s">
        <v>69</v>
      </c>
      <c r="Z41" s="2" t="s">
        <v>321</v>
      </c>
      <c r="AA41" s="2" t="s">
        <v>125</v>
      </c>
      <c r="AB41" s="2" t="s">
        <v>322</v>
      </c>
      <c r="AC41" s="2" t="s">
        <v>323</v>
      </c>
      <c r="AD41" s="2" t="s">
        <v>11</v>
      </c>
      <c r="AE41" s="2" t="s">
        <v>78</v>
      </c>
    </row>
    <row r="42" spans="1:31" ht="43.5">
      <c r="A42" s="2" t="s">
        <v>324</v>
      </c>
      <c r="B42" s="2" t="s">
        <v>325</v>
      </c>
      <c r="C42" s="2" t="s">
        <v>326</v>
      </c>
      <c r="D42" s="2" t="s">
        <v>71</v>
      </c>
      <c r="E42" s="2" t="s">
        <v>31</v>
      </c>
      <c r="F42" s="2" t="s">
        <v>327</v>
      </c>
      <c r="G42" s="2" t="s">
        <v>312</v>
      </c>
      <c r="H42" s="2" t="s">
        <v>313</v>
      </c>
      <c r="I42" s="6">
        <v>0</v>
      </c>
      <c r="J42" s="2" t="s">
        <v>10</v>
      </c>
      <c r="K42" s="2" t="s">
        <v>314</v>
      </c>
      <c r="L42" s="2" t="s">
        <v>315</v>
      </c>
      <c r="M42" s="6">
        <v>0</v>
      </c>
      <c r="N42" s="7">
        <v>100</v>
      </c>
      <c r="O42" s="7">
        <v>100</v>
      </c>
      <c r="P42" s="2" t="s">
        <v>77</v>
      </c>
      <c r="Q42" s="2" t="s">
        <v>8</v>
      </c>
      <c r="R42" s="2" t="s">
        <v>78</v>
      </c>
      <c r="S42" s="2" t="s">
        <v>328</v>
      </c>
      <c r="T42" s="2" t="s">
        <v>317</v>
      </c>
      <c r="U42" s="2" t="s">
        <v>329</v>
      </c>
      <c r="V42" s="2" t="s">
        <v>330</v>
      </c>
      <c r="W42" s="2">
        <v>5</v>
      </c>
      <c r="X42" s="2" t="s">
        <v>135</v>
      </c>
      <c r="Y42" s="2" t="s">
        <v>135</v>
      </c>
      <c r="Z42" s="2"/>
      <c r="AA42" s="2" t="s">
        <v>125</v>
      </c>
      <c r="AB42" s="2" t="s">
        <v>322</v>
      </c>
      <c r="AC42" s="2" t="s">
        <v>323</v>
      </c>
      <c r="AD42" s="2" t="s">
        <v>11</v>
      </c>
      <c r="AE42" s="2" t="s">
        <v>78</v>
      </c>
    </row>
    <row r="43" spans="1:31" ht="43.5">
      <c r="A43" s="2" t="s">
        <v>331</v>
      </c>
      <c r="B43" s="2" t="s">
        <v>332</v>
      </c>
      <c r="C43" s="2" t="s">
        <v>333</v>
      </c>
      <c r="D43" s="2" t="s">
        <v>71</v>
      </c>
      <c r="E43" s="2" t="s">
        <v>33</v>
      </c>
      <c r="F43" s="2" t="s">
        <v>199</v>
      </c>
      <c r="G43" s="2" t="s">
        <v>334</v>
      </c>
      <c r="H43" s="2" t="s">
        <v>335</v>
      </c>
      <c r="I43" s="6">
        <v>6</v>
      </c>
      <c r="J43" s="2" t="s">
        <v>10</v>
      </c>
      <c r="K43" s="2" t="s">
        <v>336</v>
      </c>
      <c r="L43" s="2" t="s">
        <v>337</v>
      </c>
      <c r="M43" s="6">
        <v>6</v>
      </c>
      <c r="N43" s="7"/>
      <c r="O43" s="7"/>
      <c r="P43" s="2" t="s">
        <v>77</v>
      </c>
      <c r="Q43" s="2" t="s">
        <v>8</v>
      </c>
      <c r="R43" s="2" t="s">
        <v>78</v>
      </c>
      <c r="S43" s="2" t="s">
        <v>328</v>
      </c>
      <c r="T43" s="2" t="s">
        <v>338</v>
      </c>
      <c r="U43" s="2" t="s">
        <v>149</v>
      </c>
      <c r="V43" s="2" t="s">
        <v>209</v>
      </c>
      <c r="W43" s="2">
        <v>5</v>
      </c>
      <c r="X43" s="2" t="s">
        <v>339</v>
      </c>
      <c r="Y43" s="2" t="s">
        <v>340</v>
      </c>
      <c r="Z43" s="2"/>
      <c r="AA43" s="2" t="s">
        <v>341</v>
      </c>
      <c r="AB43" s="2" t="s">
        <v>342</v>
      </c>
      <c r="AC43" s="2" t="s">
        <v>343</v>
      </c>
      <c r="AD43" s="2" t="s">
        <v>8</v>
      </c>
      <c r="AE43" s="2" t="s">
        <v>344</v>
      </c>
    </row>
    <row r="44" spans="1:31" ht="43.5">
      <c r="A44" s="2" t="s">
        <v>345</v>
      </c>
      <c r="B44" s="2" t="s">
        <v>346</v>
      </c>
      <c r="C44" s="2" t="s">
        <v>347</v>
      </c>
      <c r="D44" s="2" t="s">
        <v>71</v>
      </c>
      <c r="E44" s="2" t="s">
        <v>33</v>
      </c>
      <c r="F44" s="2" t="s">
        <v>149</v>
      </c>
      <c r="G44" s="2" t="s">
        <v>334</v>
      </c>
      <c r="H44" s="2" t="s">
        <v>335</v>
      </c>
      <c r="I44" s="6">
        <v>1</v>
      </c>
      <c r="J44" s="2" t="s">
        <v>18</v>
      </c>
      <c r="K44" s="2" t="s">
        <v>18</v>
      </c>
      <c r="L44" s="2" t="s">
        <v>120</v>
      </c>
      <c r="M44" s="6">
        <v>1</v>
      </c>
      <c r="N44" s="7"/>
      <c r="O44" s="7"/>
      <c r="P44" s="2" t="s">
        <v>92</v>
      </c>
      <c r="Q44" s="2" t="s">
        <v>11</v>
      </c>
      <c r="R44" s="2" t="s">
        <v>78</v>
      </c>
      <c r="S44" s="2" t="s">
        <v>121</v>
      </c>
      <c r="T44" s="2" t="s">
        <v>338</v>
      </c>
      <c r="U44" s="2" t="s">
        <v>149</v>
      </c>
      <c r="V44" s="2" t="s">
        <v>151</v>
      </c>
      <c r="W44" s="2">
        <v>1</v>
      </c>
      <c r="X44" s="2" t="s">
        <v>339</v>
      </c>
      <c r="Y44" s="2" t="s">
        <v>69</v>
      </c>
      <c r="Z44" s="2"/>
      <c r="AA44" s="2" t="s">
        <v>125</v>
      </c>
      <c r="AB44" s="2" t="s">
        <v>172</v>
      </c>
      <c r="AC44" s="2" t="s">
        <v>173</v>
      </c>
      <c r="AD44" s="2" t="s">
        <v>11</v>
      </c>
      <c r="AE44" s="2" t="s">
        <v>78</v>
      </c>
    </row>
    <row r="45" spans="1:31" ht="43.5">
      <c r="A45" s="2" t="s">
        <v>348</v>
      </c>
      <c r="B45" s="2" t="s">
        <v>349</v>
      </c>
      <c r="C45" s="2" t="s">
        <v>350</v>
      </c>
      <c r="D45" s="2" t="s">
        <v>71</v>
      </c>
      <c r="E45" s="2" t="s">
        <v>34</v>
      </c>
      <c r="F45" s="2" t="s">
        <v>249</v>
      </c>
      <c r="G45" s="2" t="s">
        <v>312</v>
      </c>
      <c r="H45" s="2" t="s">
        <v>313</v>
      </c>
      <c r="I45" s="6">
        <v>0</v>
      </c>
      <c r="J45" s="2" t="s">
        <v>10</v>
      </c>
      <c r="K45" s="2" t="s">
        <v>314</v>
      </c>
      <c r="L45" s="2" t="s">
        <v>315</v>
      </c>
      <c r="M45" s="6">
        <v>0</v>
      </c>
      <c r="N45" s="7">
        <v>100</v>
      </c>
      <c r="O45" s="7">
        <v>100</v>
      </c>
      <c r="P45" s="2" t="s">
        <v>77</v>
      </c>
      <c r="Q45" s="2" t="s">
        <v>8</v>
      </c>
      <c r="R45" s="2" t="s">
        <v>78</v>
      </c>
      <c r="S45" s="2" t="s">
        <v>328</v>
      </c>
      <c r="T45" s="2" t="s">
        <v>317</v>
      </c>
      <c r="U45" s="2" t="s">
        <v>249</v>
      </c>
      <c r="V45" s="2" t="s">
        <v>250</v>
      </c>
      <c r="W45" s="2">
        <v>1</v>
      </c>
      <c r="X45" s="2" t="s">
        <v>135</v>
      </c>
      <c r="Y45" s="2" t="s">
        <v>135</v>
      </c>
      <c r="Z45" s="2"/>
      <c r="AA45" s="2" t="s">
        <v>125</v>
      </c>
      <c r="AB45" s="2" t="s">
        <v>322</v>
      </c>
      <c r="AC45" s="2" t="s">
        <v>323</v>
      </c>
      <c r="AD45" s="2" t="s">
        <v>11</v>
      </c>
      <c r="AE45" s="2" t="s">
        <v>78</v>
      </c>
    </row>
    <row r="46" spans="1:31" ht="43.5">
      <c r="A46" s="2" t="s">
        <v>351</v>
      </c>
      <c r="B46" s="2" t="s">
        <v>352</v>
      </c>
      <c r="C46" s="2" t="s">
        <v>353</v>
      </c>
      <c r="D46" s="2" t="s">
        <v>71</v>
      </c>
      <c r="E46" s="2" t="s">
        <v>35</v>
      </c>
      <c r="F46" s="2" t="s">
        <v>354</v>
      </c>
      <c r="G46" s="2" t="s">
        <v>355</v>
      </c>
      <c r="H46" s="2" t="s">
        <v>74</v>
      </c>
      <c r="I46" s="6">
        <v>0.1</v>
      </c>
      <c r="J46" s="2" t="s">
        <v>7</v>
      </c>
      <c r="K46" s="2" t="s">
        <v>75</v>
      </c>
      <c r="L46" s="2" t="s">
        <v>76</v>
      </c>
      <c r="M46" s="6">
        <v>1</v>
      </c>
      <c r="N46" s="7">
        <v>1000</v>
      </c>
      <c r="O46" s="7">
        <v>100</v>
      </c>
      <c r="P46" s="2" t="s">
        <v>106</v>
      </c>
      <c r="Q46" s="2" t="s">
        <v>8</v>
      </c>
      <c r="R46" s="2" t="s">
        <v>78</v>
      </c>
      <c r="S46" s="2" t="s">
        <v>107</v>
      </c>
      <c r="T46" s="2" t="s">
        <v>80</v>
      </c>
      <c r="U46" s="2" t="s">
        <v>356</v>
      </c>
      <c r="V46" s="2" t="s">
        <v>357</v>
      </c>
      <c r="W46" s="2">
        <v>2</v>
      </c>
      <c r="X46" s="2" t="s">
        <v>135</v>
      </c>
      <c r="Y46" s="2" t="s">
        <v>83</v>
      </c>
      <c r="Z46" s="2"/>
      <c r="AA46" s="2" t="s">
        <v>112</v>
      </c>
      <c r="AB46" s="2" t="s">
        <v>113</v>
      </c>
      <c r="AC46" s="2" t="s">
        <v>114</v>
      </c>
      <c r="AD46" s="2" t="s">
        <v>86</v>
      </c>
      <c r="AE46" s="2" t="s">
        <v>115</v>
      </c>
    </row>
    <row r="47" spans="1:31" ht="43.5">
      <c r="A47" s="2" t="s">
        <v>358</v>
      </c>
      <c r="B47" s="2" t="s">
        <v>359</v>
      </c>
      <c r="C47" s="2" t="s">
        <v>360</v>
      </c>
      <c r="D47" s="2" t="s">
        <v>71</v>
      </c>
      <c r="E47" s="2" t="s">
        <v>33</v>
      </c>
      <c r="F47" s="2" t="s">
        <v>354</v>
      </c>
      <c r="G47" s="2" t="s">
        <v>355</v>
      </c>
      <c r="H47" s="2" t="s">
        <v>74</v>
      </c>
      <c r="I47" s="6">
        <v>0.995</v>
      </c>
      <c r="J47" s="2" t="s">
        <v>7</v>
      </c>
      <c r="K47" s="2" t="s">
        <v>75</v>
      </c>
      <c r="L47" s="2" t="s">
        <v>76</v>
      </c>
      <c r="M47" s="6">
        <v>1</v>
      </c>
      <c r="N47" s="7">
        <v>100.50251256281406</v>
      </c>
      <c r="O47" s="7">
        <v>100</v>
      </c>
      <c r="P47" s="2" t="s">
        <v>106</v>
      </c>
      <c r="Q47" s="2" t="s">
        <v>8</v>
      </c>
      <c r="R47" s="2" t="s">
        <v>78</v>
      </c>
      <c r="S47" s="2" t="s">
        <v>107</v>
      </c>
      <c r="T47" s="2" t="s">
        <v>361</v>
      </c>
      <c r="U47" s="2" t="s">
        <v>356</v>
      </c>
      <c r="V47" s="2" t="s">
        <v>357</v>
      </c>
      <c r="W47" s="2">
        <v>2</v>
      </c>
      <c r="X47" s="2" t="s">
        <v>135</v>
      </c>
      <c r="Y47" s="2" t="s">
        <v>362</v>
      </c>
      <c r="Z47" s="2"/>
      <c r="AA47" s="2" t="s">
        <v>112</v>
      </c>
      <c r="AB47" s="2" t="s">
        <v>113</v>
      </c>
      <c r="AC47" s="2" t="s">
        <v>114</v>
      </c>
      <c r="AD47" s="2" t="s">
        <v>86</v>
      </c>
      <c r="AE47" s="2" t="s">
        <v>115</v>
      </c>
    </row>
    <row r="48" spans="1:31" ht="43.5">
      <c r="A48" s="2" t="s">
        <v>363</v>
      </c>
      <c r="B48" s="2" t="s">
        <v>364</v>
      </c>
      <c r="C48" s="2" t="s">
        <v>365</v>
      </c>
      <c r="D48" s="2" t="s">
        <v>71</v>
      </c>
      <c r="E48" s="2" t="s">
        <v>37</v>
      </c>
      <c r="F48" s="2" t="s">
        <v>366</v>
      </c>
      <c r="G48" s="2" t="s">
        <v>355</v>
      </c>
      <c r="H48" s="2" t="s">
        <v>74</v>
      </c>
      <c r="I48" s="6">
        <v>0.1</v>
      </c>
      <c r="J48" s="2" t="s">
        <v>7</v>
      </c>
      <c r="K48" s="2" t="s">
        <v>75</v>
      </c>
      <c r="L48" s="2" t="s">
        <v>76</v>
      </c>
      <c r="M48" s="6">
        <v>0.1</v>
      </c>
      <c r="N48" s="7">
        <v>100</v>
      </c>
      <c r="O48" s="7">
        <v>100</v>
      </c>
      <c r="P48" s="2" t="s">
        <v>106</v>
      </c>
      <c r="Q48" s="2" t="s">
        <v>8</v>
      </c>
      <c r="R48" s="2" t="s">
        <v>78</v>
      </c>
      <c r="S48" s="2" t="s">
        <v>107</v>
      </c>
      <c r="T48" s="2" t="s">
        <v>367</v>
      </c>
      <c r="U48" s="2" t="s">
        <v>368</v>
      </c>
      <c r="V48" s="2" t="s">
        <v>369</v>
      </c>
      <c r="W48" s="2">
        <v>5</v>
      </c>
      <c r="X48" s="2" t="s">
        <v>370</v>
      </c>
      <c r="Y48" s="2" t="s">
        <v>83</v>
      </c>
      <c r="Z48" s="2"/>
      <c r="AA48" s="2" t="s">
        <v>112</v>
      </c>
      <c r="AB48" s="2" t="s">
        <v>113</v>
      </c>
      <c r="AC48" s="2" t="s">
        <v>114</v>
      </c>
      <c r="AD48" s="2" t="s">
        <v>86</v>
      </c>
      <c r="AE48" s="2" t="s">
        <v>115</v>
      </c>
    </row>
    <row r="49" spans="1:31" ht="45">
      <c r="A49" s="2" t="s">
        <v>371</v>
      </c>
      <c r="B49" s="2" t="s">
        <v>372</v>
      </c>
      <c r="C49" s="2" t="s">
        <v>373</v>
      </c>
      <c r="D49" s="2" t="s">
        <v>90</v>
      </c>
      <c r="E49" s="2" t="s">
        <v>21</v>
      </c>
      <c r="F49" s="2" t="s">
        <v>249</v>
      </c>
      <c r="G49" s="2" t="s">
        <v>374</v>
      </c>
      <c r="H49" s="2" t="s">
        <v>132</v>
      </c>
      <c r="I49" s="6">
        <v>3700</v>
      </c>
      <c r="J49" s="2" t="s">
        <v>7</v>
      </c>
      <c r="K49" s="2" t="s">
        <v>75</v>
      </c>
      <c r="L49" s="2" t="s">
        <v>76</v>
      </c>
      <c r="M49" s="6">
        <v>3932</v>
      </c>
      <c r="N49" s="7"/>
      <c r="O49" s="7"/>
      <c r="P49" s="2" t="s">
        <v>92</v>
      </c>
      <c r="Q49" s="2" t="s">
        <v>14</v>
      </c>
      <c r="R49" s="2" t="s">
        <v>78</v>
      </c>
      <c r="S49" s="2" t="s">
        <v>93</v>
      </c>
      <c r="T49" s="2" t="s">
        <v>375</v>
      </c>
      <c r="U49" s="2" t="s">
        <v>376</v>
      </c>
      <c r="V49" s="2" t="s">
        <v>377</v>
      </c>
      <c r="W49" s="2">
        <v>8</v>
      </c>
      <c r="X49" s="2" t="s">
        <v>135</v>
      </c>
      <c r="Y49" s="2" t="s">
        <v>378</v>
      </c>
      <c r="Z49" s="2"/>
      <c r="AA49" s="2" t="s">
        <v>97</v>
      </c>
      <c r="AB49" s="2" t="s">
        <v>98</v>
      </c>
      <c r="AC49" s="2" t="s">
        <v>99</v>
      </c>
      <c r="AD49" s="2" t="s">
        <v>14</v>
      </c>
      <c r="AE49" s="2" t="s">
        <v>100</v>
      </c>
    </row>
    <row r="50" spans="1:31" ht="43.5">
      <c r="A50" s="2" t="s">
        <v>379</v>
      </c>
      <c r="B50" s="2" t="s">
        <v>380</v>
      </c>
      <c r="C50" s="2" t="s">
        <v>381</v>
      </c>
      <c r="D50" s="2" t="s">
        <v>71</v>
      </c>
      <c r="E50" s="2" t="s">
        <v>21</v>
      </c>
      <c r="F50" s="2" t="s">
        <v>249</v>
      </c>
      <c r="G50" s="2" t="s">
        <v>374</v>
      </c>
      <c r="H50" s="2" t="s">
        <v>382</v>
      </c>
      <c r="I50" s="6">
        <v>3700</v>
      </c>
      <c r="J50" s="2" t="s">
        <v>7</v>
      </c>
      <c r="K50" s="2" t="s">
        <v>75</v>
      </c>
      <c r="L50" s="2" t="s">
        <v>76</v>
      </c>
      <c r="M50" s="6">
        <v>3932</v>
      </c>
      <c r="N50" s="7">
        <v>106.27027027027027</v>
      </c>
      <c r="O50" s="7">
        <v>100</v>
      </c>
      <c r="P50" s="2" t="s">
        <v>106</v>
      </c>
      <c r="Q50" s="2" t="s">
        <v>8</v>
      </c>
      <c r="R50" s="2" t="s">
        <v>78</v>
      </c>
      <c r="S50" s="2" t="s">
        <v>107</v>
      </c>
      <c r="T50" s="2" t="s">
        <v>375</v>
      </c>
      <c r="U50" s="2" t="s">
        <v>356</v>
      </c>
      <c r="V50" s="2" t="s">
        <v>357</v>
      </c>
      <c r="W50" s="2">
        <v>2</v>
      </c>
      <c r="X50" s="2" t="s">
        <v>135</v>
      </c>
      <c r="Y50" s="2" t="s">
        <v>383</v>
      </c>
      <c r="Z50" s="2"/>
      <c r="AA50" s="2" t="s">
        <v>112</v>
      </c>
      <c r="AB50" s="2" t="s">
        <v>113</v>
      </c>
      <c r="AC50" s="2" t="s">
        <v>114</v>
      </c>
      <c r="AD50" s="2" t="s">
        <v>86</v>
      </c>
      <c r="AE50" s="2" t="s">
        <v>115</v>
      </c>
    </row>
    <row r="51" spans="1:31" ht="43.5">
      <c r="A51" s="2" t="s">
        <v>384</v>
      </c>
      <c r="B51" s="2" t="s">
        <v>385</v>
      </c>
      <c r="C51" s="2" t="s">
        <v>386</v>
      </c>
      <c r="D51" s="2" t="s">
        <v>71</v>
      </c>
      <c r="E51" s="2" t="s">
        <v>21</v>
      </c>
      <c r="F51" s="2" t="s">
        <v>249</v>
      </c>
      <c r="G51" s="2" t="s">
        <v>387</v>
      </c>
      <c r="H51" s="2" t="s">
        <v>388</v>
      </c>
      <c r="I51" s="6">
        <v>0.2</v>
      </c>
      <c r="J51" s="2" t="s">
        <v>7</v>
      </c>
      <c r="K51" s="2" t="s">
        <v>75</v>
      </c>
      <c r="L51" s="2" t="s">
        <v>76</v>
      </c>
      <c r="M51" s="6">
        <v>0</v>
      </c>
      <c r="N51" s="7">
        <v>0</v>
      </c>
      <c r="O51" s="7">
        <v>0</v>
      </c>
      <c r="P51" s="2" t="s">
        <v>106</v>
      </c>
      <c r="Q51" s="2" t="s">
        <v>8</v>
      </c>
      <c r="R51" s="2" t="s">
        <v>78</v>
      </c>
      <c r="S51" s="2" t="s">
        <v>107</v>
      </c>
      <c r="T51" s="2" t="s">
        <v>375</v>
      </c>
      <c r="U51" s="2" t="s">
        <v>249</v>
      </c>
      <c r="V51" s="2" t="s">
        <v>250</v>
      </c>
      <c r="W51" s="2">
        <v>1</v>
      </c>
      <c r="X51" s="2" t="s">
        <v>388</v>
      </c>
      <c r="Y51" s="2" t="s">
        <v>96</v>
      </c>
      <c r="Z51" s="2"/>
      <c r="AA51" s="2" t="s">
        <v>112</v>
      </c>
      <c r="AB51" s="2" t="s">
        <v>113</v>
      </c>
      <c r="AC51" s="2" t="s">
        <v>114</v>
      </c>
      <c r="AD51" s="2" t="s">
        <v>86</v>
      </c>
      <c r="AE51" s="2" t="s">
        <v>115</v>
      </c>
    </row>
    <row r="52" spans="1:31" ht="43.5">
      <c r="A52" s="2" t="s">
        <v>389</v>
      </c>
      <c r="B52" s="2" t="s">
        <v>390</v>
      </c>
      <c r="C52" s="2" t="s">
        <v>391</v>
      </c>
      <c r="D52" s="2" t="s">
        <v>71</v>
      </c>
      <c r="E52" s="2" t="s">
        <v>31</v>
      </c>
      <c r="F52" s="2" t="s">
        <v>141</v>
      </c>
      <c r="G52" s="2" t="s">
        <v>312</v>
      </c>
      <c r="H52" s="2" t="s">
        <v>392</v>
      </c>
      <c r="I52" s="6">
        <v>1</v>
      </c>
      <c r="J52" s="2" t="s">
        <v>10</v>
      </c>
      <c r="K52" s="2" t="s">
        <v>393</v>
      </c>
      <c r="L52" s="2" t="s">
        <v>394</v>
      </c>
      <c r="M52" s="6">
        <v>0</v>
      </c>
      <c r="N52" s="7"/>
      <c r="O52" s="7"/>
      <c r="P52" s="2" t="s">
        <v>77</v>
      </c>
      <c r="Q52" s="2" t="s">
        <v>8</v>
      </c>
      <c r="R52" s="2" t="s">
        <v>78</v>
      </c>
      <c r="S52" s="2" t="s">
        <v>328</v>
      </c>
      <c r="T52" s="2" t="s">
        <v>122</v>
      </c>
      <c r="U52" s="2" t="s">
        <v>395</v>
      </c>
      <c r="V52" s="2" t="s">
        <v>396</v>
      </c>
      <c r="W52" s="2">
        <v>3</v>
      </c>
      <c r="X52" s="2" t="s">
        <v>397</v>
      </c>
      <c r="Y52" s="2" t="s">
        <v>69</v>
      </c>
      <c r="Z52" s="2"/>
      <c r="AA52" s="2" t="s">
        <v>341</v>
      </c>
      <c r="AB52" s="2" t="s">
        <v>342</v>
      </c>
      <c r="AC52" s="2" t="s">
        <v>343</v>
      </c>
      <c r="AD52" s="2" t="s">
        <v>8</v>
      </c>
      <c r="AE52" s="2" t="s">
        <v>344</v>
      </c>
    </row>
    <row r="53" spans="1:31" ht="43.5">
      <c r="A53" s="2" t="s">
        <v>398</v>
      </c>
      <c r="B53" s="2" t="s">
        <v>399</v>
      </c>
      <c r="C53" s="2" t="s">
        <v>400</v>
      </c>
      <c r="D53" s="2" t="s">
        <v>71</v>
      </c>
      <c r="E53" s="2" t="s">
        <v>21</v>
      </c>
      <c r="F53" s="2" t="s">
        <v>249</v>
      </c>
      <c r="G53" s="2" t="s">
        <v>18</v>
      </c>
      <c r="H53" s="2" t="s">
        <v>401</v>
      </c>
      <c r="I53" s="6">
        <v>0.2</v>
      </c>
      <c r="J53" s="2" t="s">
        <v>7</v>
      </c>
      <c r="K53" s="2" t="s">
        <v>75</v>
      </c>
      <c r="L53" s="2" t="s">
        <v>76</v>
      </c>
      <c r="M53" s="6">
        <v>0</v>
      </c>
      <c r="N53" s="7">
        <v>0</v>
      </c>
      <c r="O53" s="7">
        <v>0</v>
      </c>
      <c r="P53" s="2" t="s">
        <v>92</v>
      </c>
      <c r="Q53" s="2" t="s">
        <v>11</v>
      </c>
      <c r="R53" s="2" t="s">
        <v>78</v>
      </c>
      <c r="S53" s="2" t="s">
        <v>121</v>
      </c>
      <c r="T53" s="2" t="s">
        <v>375</v>
      </c>
      <c r="U53" s="2" t="s">
        <v>356</v>
      </c>
      <c r="V53" s="2" t="s">
        <v>357</v>
      </c>
      <c r="W53" s="2">
        <v>2</v>
      </c>
      <c r="X53" s="2" t="s">
        <v>401</v>
      </c>
      <c r="Y53" s="2" t="s">
        <v>96</v>
      </c>
      <c r="Z53" s="2"/>
      <c r="AA53" s="2" t="s">
        <v>125</v>
      </c>
      <c r="AB53" s="2" t="s">
        <v>258</v>
      </c>
      <c r="AC53" s="2" t="s">
        <v>259</v>
      </c>
      <c r="AD53" s="2" t="s">
        <v>11</v>
      </c>
      <c r="AE53" s="2" t="s">
        <v>78</v>
      </c>
    </row>
    <row r="54" spans="1:31" ht="43.5">
      <c r="A54" s="2" t="s">
        <v>402</v>
      </c>
      <c r="B54" s="2" t="s">
        <v>403</v>
      </c>
      <c r="C54" s="2" t="s">
        <v>404</v>
      </c>
      <c r="D54" s="2" t="s">
        <v>71</v>
      </c>
      <c r="E54" s="2" t="s">
        <v>21</v>
      </c>
      <c r="F54" s="2" t="s">
        <v>249</v>
      </c>
      <c r="G54" s="2" t="s">
        <v>387</v>
      </c>
      <c r="H54" s="2" t="s">
        <v>405</v>
      </c>
      <c r="I54" s="6">
        <v>0.1</v>
      </c>
      <c r="J54" s="2" t="s">
        <v>7</v>
      </c>
      <c r="K54" s="2" t="s">
        <v>75</v>
      </c>
      <c r="L54" s="2" t="s">
        <v>276</v>
      </c>
      <c r="M54" s="6">
        <v>0.25182481751825003</v>
      </c>
      <c r="N54" s="7">
        <v>251.82481751825003</v>
      </c>
      <c r="O54" s="7">
        <v>100</v>
      </c>
      <c r="P54" s="2" t="s">
        <v>106</v>
      </c>
      <c r="Q54" s="2" t="s">
        <v>8</v>
      </c>
      <c r="R54" s="2" t="s">
        <v>78</v>
      </c>
      <c r="S54" s="2" t="s">
        <v>107</v>
      </c>
      <c r="T54" s="2" t="s">
        <v>375</v>
      </c>
      <c r="U54" s="2" t="s">
        <v>356</v>
      </c>
      <c r="V54" s="2" t="s">
        <v>357</v>
      </c>
      <c r="W54" s="2">
        <v>2</v>
      </c>
      <c r="X54" s="2" t="s">
        <v>405</v>
      </c>
      <c r="Y54" s="2" t="s">
        <v>83</v>
      </c>
      <c r="Z54" s="2"/>
      <c r="AA54" s="2" t="s">
        <v>112</v>
      </c>
      <c r="AB54" s="2" t="s">
        <v>113</v>
      </c>
      <c r="AC54" s="2" t="s">
        <v>114</v>
      </c>
      <c r="AD54" s="2" t="s">
        <v>86</v>
      </c>
      <c r="AE54" s="2" t="s">
        <v>115</v>
      </c>
    </row>
    <row r="55" spans="1:31" ht="43.5">
      <c r="A55" s="2" t="s">
        <v>406</v>
      </c>
      <c r="B55" s="2" t="s">
        <v>407</v>
      </c>
      <c r="C55" s="2" t="s">
        <v>408</v>
      </c>
      <c r="D55" s="2" t="s">
        <v>71</v>
      </c>
      <c r="E55" s="2" t="s">
        <v>31</v>
      </c>
      <c r="F55" s="2" t="s">
        <v>133</v>
      </c>
      <c r="G55" s="2" t="s">
        <v>312</v>
      </c>
      <c r="H55" s="2" t="s">
        <v>313</v>
      </c>
      <c r="I55" s="6">
        <v>0</v>
      </c>
      <c r="J55" s="2" t="s">
        <v>10</v>
      </c>
      <c r="K55" s="2" t="s">
        <v>314</v>
      </c>
      <c r="L55" s="2" t="s">
        <v>315</v>
      </c>
      <c r="M55" s="6">
        <v>0</v>
      </c>
      <c r="N55" s="7">
        <v>100</v>
      </c>
      <c r="O55" s="7">
        <v>100</v>
      </c>
      <c r="P55" s="2" t="s">
        <v>77</v>
      </c>
      <c r="Q55" s="2" t="s">
        <v>8</v>
      </c>
      <c r="R55" s="2" t="s">
        <v>78</v>
      </c>
      <c r="S55" s="2" t="s">
        <v>328</v>
      </c>
      <c r="T55" s="2" t="s">
        <v>122</v>
      </c>
      <c r="U55" s="2" t="s">
        <v>133</v>
      </c>
      <c r="V55" s="2" t="s">
        <v>134</v>
      </c>
      <c r="W55" s="2">
        <v>2</v>
      </c>
      <c r="X55" s="2" t="s">
        <v>135</v>
      </c>
      <c r="Y55" s="2" t="s">
        <v>135</v>
      </c>
      <c r="Z55" s="2"/>
      <c r="AA55" s="2" t="s">
        <v>125</v>
      </c>
      <c r="AB55" s="2" t="s">
        <v>322</v>
      </c>
      <c r="AC55" s="2" t="s">
        <v>323</v>
      </c>
      <c r="AD55" s="2" t="s">
        <v>11</v>
      </c>
      <c r="AE55" s="2" t="s">
        <v>78</v>
      </c>
    </row>
    <row r="56" spans="1:31" ht="86.25">
      <c r="A56" s="2" t="s">
        <v>409</v>
      </c>
      <c r="B56" s="2" t="s">
        <v>410</v>
      </c>
      <c r="C56" s="2" t="s">
        <v>411</v>
      </c>
      <c r="D56" s="2" t="s">
        <v>71</v>
      </c>
      <c r="E56" s="2" t="s">
        <v>31</v>
      </c>
      <c r="F56" s="2" t="s">
        <v>149</v>
      </c>
      <c r="G56" s="2" t="s">
        <v>18</v>
      </c>
      <c r="H56" s="2" t="s">
        <v>412</v>
      </c>
      <c r="I56" s="6">
        <v>0</v>
      </c>
      <c r="J56" s="2" t="s">
        <v>18</v>
      </c>
      <c r="K56" s="2" t="s">
        <v>18</v>
      </c>
      <c r="L56" s="2" t="s">
        <v>120</v>
      </c>
      <c r="M56" s="6">
        <v>0</v>
      </c>
      <c r="N56" s="7"/>
      <c r="O56" s="7"/>
      <c r="P56" s="2" t="s">
        <v>92</v>
      </c>
      <c r="Q56" s="2" t="s">
        <v>11</v>
      </c>
      <c r="R56" s="2" t="s">
        <v>78</v>
      </c>
      <c r="S56" s="2" t="s">
        <v>121</v>
      </c>
      <c r="T56" s="2" t="s">
        <v>122</v>
      </c>
      <c r="U56" s="2" t="s">
        <v>149</v>
      </c>
      <c r="V56" s="2" t="s">
        <v>413</v>
      </c>
      <c r="W56" s="2">
        <v>1</v>
      </c>
      <c r="X56" s="2" t="s">
        <v>414</v>
      </c>
      <c r="Y56" s="2" t="s">
        <v>135</v>
      </c>
      <c r="Z56" s="2"/>
      <c r="AA56" s="2" t="s">
        <v>125</v>
      </c>
      <c r="AB56" s="2" t="s">
        <v>126</v>
      </c>
      <c r="AC56" s="2" t="s">
        <v>127</v>
      </c>
      <c r="AD56" s="2" t="s">
        <v>11</v>
      </c>
      <c r="AE56" s="2" t="s">
        <v>78</v>
      </c>
    </row>
    <row r="57" spans="1:31" ht="43.5">
      <c r="A57" s="2" t="s">
        <v>415</v>
      </c>
      <c r="B57" s="2" t="s">
        <v>416</v>
      </c>
      <c r="C57" s="2" t="s">
        <v>417</v>
      </c>
      <c r="D57" s="2" t="s">
        <v>71</v>
      </c>
      <c r="E57" s="2" t="s">
        <v>21</v>
      </c>
      <c r="F57" s="2" t="s">
        <v>249</v>
      </c>
      <c r="G57" s="2" t="s">
        <v>374</v>
      </c>
      <c r="H57" s="2" t="s">
        <v>382</v>
      </c>
      <c r="I57" s="6">
        <v>4500</v>
      </c>
      <c r="J57" s="2" t="s">
        <v>7</v>
      </c>
      <c r="K57" s="2" t="s">
        <v>75</v>
      </c>
      <c r="L57" s="2" t="s">
        <v>76</v>
      </c>
      <c r="M57" s="6">
        <v>4782</v>
      </c>
      <c r="N57" s="7">
        <v>106.26666666666667</v>
      </c>
      <c r="O57" s="7">
        <v>100</v>
      </c>
      <c r="P57" s="2" t="s">
        <v>106</v>
      </c>
      <c r="Q57" s="2" t="s">
        <v>8</v>
      </c>
      <c r="R57" s="2" t="s">
        <v>78</v>
      </c>
      <c r="S57" s="2" t="s">
        <v>107</v>
      </c>
      <c r="T57" s="2" t="s">
        <v>375</v>
      </c>
      <c r="U57" s="2" t="s">
        <v>418</v>
      </c>
      <c r="V57" s="2" t="s">
        <v>419</v>
      </c>
      <c r="W57" s="2">
        <v>5</v>
      </c>
      <c r="X57" s="2" t="s">
        <v>135</v>
      </c>
      <c r="Y57" s="2" t="s">
        <v>420</v>
      </c>
      <c r="Z57" s="2"/>
      <c r="AA57" s="2" t="s">
        <v>112</v>
      </c>
      <c r="AB57" s="2" t="s">
        <v>113</v>
      </c>
      <c r="AC57" s="2" t="s">
        <v>114</v>
      </c>
      <c r="AD57" s="2" t="s">
        <v>86</v>
      </c>
      <c r="AE57" s="2" t="s">
        <v>115</v>
      </c>
    </row>
    <row r="58" spans="1:31" ht="43.5">
      <c r="A58" s="2" t="s">
        <v>421</v>
      </c>
      <c r="B58" s="2" t="s">
        <v>422</v>
      </c>
      <c r="C58" s="2" t="s">
        <v>423</v>
      </c>
      <c r="D58" s="2" t="s">
        <v>71</v>
      </c>
      <c r="E58" s="2" t="s">
        <v>21</v>
      </c>
      <c r="F58" s="2" t="s">
        <v>249</v>
      </c>
      <c r="G58" s="2" t="s">
        <v>374</v>
      </c>
      <c r="H58" s="2" t="s">
        <v>382</v>
      </c>
      <c r="I58" s="6">
        <v>4000</v>
      </c>
      <c r="J58" s="2" t="s">
        <v>7</v>
      </c>
      <c r="K58" s="2" t="s">
        <v>75</v>
      </c>
      <c r="L58" s="2" t="s">
        <v>76</v>
      </c>
      <c r="M58" s="6">
        <v>4268</v>
      </c>
      <c r="N58" s="7">
        <v>106.69999999999999</v>
      </c>
      <c r="O58" s="7">
        <v>100</v>
      </c>
      <c r="P58" s="2" t="s">
        <v>106</v>
      </c>
      <c r="Q58" s="2" t="s">
        <v>8</v>
      </c>
      <c r="R58" s="2" t="s">
        <v>78</v>
      </c>
      <c r="S58" s="2" t="s">
        <v>107</v>
      </c>
      <c r="T58" s="2" t="s">
        <v>375</v>
      </c>
      <c r="U58" s="2" t="s">
        <v>424</v>
      </c>
      <c r="V58" s="2" t="s">
        <v>425</v>
      </c>
      <c r="W58" s="2">
        <v>3</v>
      </c>
      <c r="X58" s="2" t="s">
        <v>135</v>
      </c>
      <c r="Y58" s="2" t="s">
        <v>426</v>
      </c>
      <c r="Z58" s="2"/>
      <c r="AA58" s="2" t="s">
        <v>112</v>
      </c>
      <c r="AB58" s="2" t="s">
        <v>113</v>
      </c>
      <c r="AC58" s="2" t="s">
        <v>114</v>
      </c>
      <c r="AD58" s="2" t="s">
        <v>86</v>
      </c>
      <c r="AE58" s="2" t="s">
        <v>115</v>
      </c>
    </row>
    <row r="59" spans="1:31" ht="43.5">
      <c r="A59" s="2" t="s">
        <v>427</v>
      </c>
      <c r="B59" s="2" t="s">
        <v>428</v>
      </c>
      <c r="C59" s="2" t="s">
        <v>429</v>
      </c>
      <c r="D59" s="2" t="s">
        <v>71</v>
      </c>
      <c r="E59" s="2" t="s">
        <v>21</v>
      </c>
      <c r="F59" s="2" t="s">
        <v>249</v>
      </c>
      <c r="G59" s="2" t="s">
        <v>374</v>
      </c>
      <c r="H59" s="2" t="s">
        <v>382</v>
      </c>
      <c r="I59" s="6">
        <v>3800</v>
      </c>
      <c r="J59" s="2" t="s">
        <v>7</v>
      </c>
      <c r="K59" s="2" t="s">
        <v>75</v>
      </c>
      <c r="L59" s="2" t="s">
        <v>76</v>
      </c>
      <c r="M59" s="6">
        <v>3501</v>
      </c>
      <c r="N59" s="7">
        <v>92.131578947368425</v>
      </c>
      <c r="O59" s="7">
        <v>92.131578947368425</v>
      </c>
      <c r="P59" s="2" t="s">
        <v>106</v>
      </c>
      <c r="Q59" s="2" t="s">
        <v>8</v>
      </c>
      <c r="R59" s="2" t="s">
        <v>78</v>
      </c>
      <c r="S59" s="2" t="s">
        <v>107</v>
      </c>
      <c r="T59" s="2" t="s">
        <v>375</v>
      </c>
      <c r="U59" s="2" t="s">
        <v>356</v>
      </c>
      <c r="V59" s="2" t="s">
        <v>357</v>
      </c>
      <c r="W59" s="2">
        <v>2</v>
      </c>
      <c r="X59" s="2" t="s">
        <v>135</v>
      </c>
      <c r="Y59" s="2" t="s">
        <v>430</v>
      </c>
      <c r="Z59" s="2"/>
      <c r="AA59" s="2" t="s">
        <v>112</v>
      </c>
      <c r="AB59" s="2" t="s">
        <v>113</v>
      </c>
      <c r="AC59" s="2" t="s">
        <v>114</v>
      </c>
      <c r="AD59" s="2" t="s">
        <v>86</v>
      </c>
      <c r="AE59" s="2" t="s">
        <v>115</v>
      </c>
    </row>
    <row r="60" spans="1:31" ht="43.5">
      <c r="A60" s="2" t="s">
        <v>431</v>
      </c>
      <c r="B60" s="2" t="s">
        <v>432</v>
      </c>
      <c r="C60" s="2" t="s">
        <v>433</v>
      </c>
      <c r="D60" s="2" t="s">
        <v>71</v>
      </c>
      <c r="E60" s="2" t="s">
        <v>21</v>
      </c>
      <c r="F60" s="2" t="s">
        <v>249</v>
      </c>
      <c r="G60" s="2" t="s">
        <v>374</v>
      </c>
      <c r="H60" s="2" t="s">
        <v>382</v>
      </c>
      <c r="I60" s="6">
        <v>3500</v>
      </c>
      <c r="J60" s="2" t="s">
        <v>7</v>
      </c>
      <c r="K60" s="2" t="s">
        <v>75</v>
      </c>
      <c r="L60" s="2" t="s">
        <v>76</v>
      </c>
      <c r="M60" s="6">
        <v>2144</v>
      </c>
      <c r="N60" s="7">
        <v>61.257142857142853</v>
      </c>
      <c r="O60" s="7">
        <v>61.257142857142853</v>
      </c>
      <c r="P60" s="2" t="s">
        <v>106</v>
      </c>
      <c r="Q60" s="2" t="s">
        <v>8</v>
      </c>
      <c r="R60" s="2" t="s">
        <v>78</v>
      </c>
      <c r="S60" s="2" t="s">
        <v>107</v>
      </c>
      <c r="T60" s="2" t="s">
        <v>375</v>
      </c>
      <c r="U60" s="2" t="s">
        <v>356</v>
      </c>
      <c r="V60" s="2" t="s">
        <v>357</v>
      </c>
      <c r="W60" s="2">
        <v>2</v>
      </c>
      <c r="X60" s="2" t="s">
        <v>135</v>
      </c>
      <c r="Y60" s="2" t="s">
        <v>434</v>
      </c>
      <c r="Z60" s="2"/>
      <c r="AA60" s="2" t="s">
        <v>112</v>
      </c>
      <c r="AB60" s="2" t="s">
        <v>113</v>
      </c>
      <c r="AC60" s="2" t="s">
        <v>114</v>
      </c>
      <c r="AD60" s="2" t="s">
        <v>86</v>
      </c>
      <c r="AE60" s="2" t="s">
        <v>115</v>
      </c>
    </row>
    <row r="61" spans="1:31" ht="43.5">
      <c r="A61" s="2" t="s">
        <v>435</v>
      </c>
      <c r="B61" s="2" t="s">
        <v>436</v>
      </c>
      <c r="C61" s="2" t="s">
        <v>437</v>
      </c>
      <c r="D61" s="2" t="s">
        <v>71</v>
      </c>
      <c r="E61" s="2" t="s">
        <v>21</v>
      </c>
      <c r="F61" s="2" t="s">
        <v>249</v>
      </c>
      <c r="G61" s="2" t="s">
        <v>374</v>
      </c>
      <c r="H61" s="2" t="s">
        <v>382</v>
      </c>
      <c r="I61" s="6">
        <v>3500</v>
      </c>
      <c r="J61" s="2" t="s">
        <v>7</v>
      </c>
      <c r="K61" s="2" t="s">
        <v>75</v>
      </c>
      <c r="L61" s="2" t="s">
        <v>76</v>
      </c>
      <c r="M61" s="6">
        <v>2560</v>
      </c>
      <c r="N61" s="7">
        <v>73.142857142857139</v>
      </c>
      <c r="O61" s="7">
        <v>73.142857142857139</v>
      </c>
      <c r="P61" s="2" t="s">
        <v>106</v>
      </c>
      <c r="Q61" s="2" t="s">
        <v>8</v>
      </c>
      <c r="R61" s="2" t="s">
        <v>78</v>
      </c>
      <c r="S61" s="2" t="s">
        <v>107</v>
      </c>
      <c r="T61" s="2" t="s">
        <v>375</v>
      </c>
      <c r="U61" s="2" t="s">
        <v>356</v>
      </c>
      <c r="V61" s="2" t="s">
        <v>357</v>
      </c>
      <c r="W61" s="2">
        <v>2</v>
      </c>
      <c r="X61" s="2" t="s">
        <v>135</v>
      </c>
      <c r="Y61" s="2" t="s">
        <v>434</v>
      </c>
      <c r="Z61" s="2"/>
      <c r="AA61" s="2" t="s">
        <v>112</v>
      </c>
      <c r="AB61" s="2" t="s">
        <v>113</v>
      </c>
      <c r="AC61" s="2" t="s">
        <v>114</v>
      </c>
      <c r="AD61" s="2" t="s">
        <v>86</v>
      </c>
      <c r="AE61" s="2" t="s">
        <v>115</v>
      </c>
    </row>
    <row r="62" spans="1:31" ht="43.5">
      <c r="A62" s="2" t="s">
        <v>438</v>
      </c>
      <c r="B62" s="2" t="s">
        <v>439</v>
      </c>
      <c r="C62" s="2" t="s">
        <v>440</v>
      </c>
      <c r="D62" s="2" t="s">
        <v>71</v>
      </c>
      <c r="E62" s="2" t="s">
        <v>21</v>
      </c>
      <c r="F62" s="2" t="s">
        <v>249</v>
      </c>
      <c r="G62" s="2" t="s">
        <v>374</v>
      </c>
      <c r="H62" s="2" t="s">
        <v>382</v>
      </c>
      <c r="I62" s="6">
        <v>3500</v>
      </c>
      <c r="J62" s="2" t="s">
        <v>7</v>
      </c>
      <c r="K62" s="2" t="s">
        <v>75</v>
      </c>
      <c r="L62" s="2" t="s">
        <v>76</v>
      </c>
      <c r="M62" s="6">
        <v>2923</v>
      </c>
      <c r="N62" s="7">
        <v>83.51428571428572</v>
      </c>
      <c r="O62" s="7">
        <v>83.51428571428572</v>
      </c>
      <c r="P62" s="2" t="s">
        <v>106</v>
      </c>
      <c r="Q62" s="2" t="s">
        <v>8</v>
      </c>
      <c r="R62" s="2" t="s">
        <v>78</v>
      </c>
      <c r="S62" s="2" t="s">
        <v>107</v>
      </c>
      <c r="T62" s="2" t="s">
        <v>375</v>
      </c>
      <c r="U62" s="2" t="s">
        <v>356</v>
      </c>
      <c r="V62" s="2" t="s">
        <v>357</v>
      </c>
      <c r="W62" s="2">
        <v>2</v>
      </c>
      <c r="X62" s="2" t="s">
        <v>135</v>
      </c>
      <c r="Y62" s="2" t="s">
        <v>434</v>
      </c>
      <c r="Z62" s="2"/>
      <c r="AA62" s="2" t="s">
        <v>112</v>
      </c>
      <c r="AB62" s="2" t="s">
        <v>113</v>
      </c>
      <c r="AC62" s="2" t="s">
        <v>114</v>
      </c>
      <c r="AD62" s="2" t="s">
        <v>86</v>
      </c>
      <c r="AE62" s="2" t="s">
        <v>115</v>
      </c>
    </row>
    <row r="63" spans="1:31" ht="43.5">
      <c r="A63" s="2" t="s">
        <v>441</v>
      </c>
      <c r="B63" s="2" t="s">
        <v>442</v>
      </c>
      <c r="C63" s="2" t="s">
        <v>443</v>
      </c>
      <c r="D63" s="2" t="s">
        <v>71</v>
      </c>
      <c r="E63" s="2" t="s">
        <v>21</v>
      </c>
      <c r="F63" s="2" t="s">
        <v>249</v>
      </c>
      <c r="G63" s="2" t="s">
        <v>374</v>
      </c>
      <c r="H63" s="2" t="s">
        <v>382</v>
      </c>
      <c r="I63" s="6">
        <v>3500</v>
      </c>
      <c r="J63" s="2" t="s">
        <v>7</v>
      </c>
      <c r="K63" s="2" t="s">
        <v>75</v>
      </c>
      <c r="L63" s="2" t="s">
        <v>76</v>
      </c>
      <c r="M63" s="6">
        <v>3165</v>
      </c>
      <c r="N63" s="7">
        <v>90.428571428571431</v>
      </c>
      <c r="O63" s="7">
        <v>90.428571428571431</v>
      </c>
      <c r="P63" s="2" t="s">
        <v>106</v>
      </c>
      <c r="Q63" s="2" t="s">
        <v>8</v>
      </c>
      <c r="R63" s="2" t="s">
        <v>78</v>
      </c>
      <c r="S63" s="2" t="s">
        <v>107</v>
      </c>
      <c r="T63" s="2" t="s">
        <v>375</v>
      </c>
      <c r="U63" s="2" t="s">
        <v>356</v>
      </c>
      <c r="V63" s="2" t="s">
        <v>357</v>
      </c>
      <c r="W63" s="2">
        <v>2</v>
      </c>
      <c r="X63" s="2" t="s">
        <v>135</v>
      </c>
      <c r="Y63" s="2" t="s">
        <v>434</v>
      </c>
      <c r="Z63" s="2"/>
      <c r="AA63" s="2" t="s">
        <v>112</v>
      </c>
      <c r="AB63" s="2" t="s">
        <v>113</v>
      </c>
      <c r="AC63" s="2" t="s">
        <v>114</v>
      </c>
      <c r="AD63" s="2" t="s">
        <v>86</v>
      </c>
      <c r="AE63" s="2" t="s">
        <v>115</v>
      </c>
    </row>
    <row r="64" spans="1:31" ht="43.5">
      <c r="A64" s="2" t="s">
        <v>444</v>
      </c>
      <c r="B64" s="2" t="s">
        <v>445</v>
      </c>
      <c r="C64" s="2" t="s">
        <v>446</v>
      </c>
      <c r="D64" s="2" t="s">
        <v>71</v>
      </c>
      <c r="E64" s="2" t="s">
        <v>21</v>
      </c>
      <c r="F64" s="2" t="s">
        <v>133</v>
      </c>
      <c r="G64" s="2" t="s">
        <v>374</v>
      </c>
      <c r="H64" s="2" t="s">
        <v>382</v>
      </c>
      <c r="I64" s="6">
        <v>3500</v>
      </c>
      <c r="J64" s="2" t="s">
        <v>7</v>
      </c>
      <c r="K64" s="2" t="s">
        <v>75</v>
      </c>
      <c r="L64" s="2" t="s">
        <v>76</v>
      </c>
      <c r="M64" s="6">
        <v>2234</v>
      </c>
      <c r="N64" s="7">
        <v>63.828571428571422</v>
      </c>
      <c r="O64" s="7">
        <v>63.828571428571422</v>
      </c>
      <c r="P64" s="2" t="s">
        <v>106</v>
      </c>
      <c r="Q64" s="2" t="s">
        <v>8</v>
      </c>
      <c r="R64" s="2" t="s">
        <v>78</v>
      </c>
      <c r="S64" s="2" t="s">
        <v>107</v>
      </c>
      <c r="T64" s="2" t="s">
        <v>375</v>
      </c>
      <c r="U64" s="2" t="s">
        <v>356</v>
      </c>
      <c r="V64" s="2" t="s">
        <v>357</v>
      </c>
      <c r="W64" s="2">
        <v>2</v>
      </c>
      <c r="X64" s="2" t="s">
        <v>135</v>
      </c>
      <c r="Y64" s="2" t="s">
        <v>434</v>
      </c>
      <c r="Z64" s="2"/>
      <c r="AA64" s="2" t="s">
        <v>112</v>
      </c>
      <c r="AB64" s="2" t="s">
        <v>113</v>
      </c>
      <c r="AC64" s="2" t="s">
        <v>114</v>
      </c>
      <c r="AD64" s="2" t="s">
        <v>86</v>
      </c>
      <c r="AE64" s="2" t="s">
        <v>115</v>
      </c>
    </row>
    <row r="65" spans="1:31" ht="43.5">
      <c r="A65" s="2" t="s">
        <v>447</v>
      </c>
      <c r="B65" s="2" t="s">
        <v>448</v>
      </c>
      <c r="C65" s="2" t="s">
        <v>449</v>
      </c>
      <c r="D65" s="2" t="s">
        <v>71</v>
      </c>
      <c r="E65" s="2" t="s">
        <v>21</v>
      </c>
      <c r="F65" s="2" t="s">
        <v>249</v>
      </c>
      <c r="G65" s="2" t="s">
        <v>374</v>
      </c>
      <c r="H65" s="2" t="s">
        <v>382</v>
      </c>
      <c r="I65" s="6">
        <v>3500</v>
      </c>
      <c r="J65" s="2" t="s">
        <v>7</v>
      </c>
      <c r="K65" s="2" t="s">
        <v>75</v>
      </c>
      <c r="L65" s="2" t="s">
        <v>76</v>
      </c>
      <c r="M65" s="6">
        <v>1551</v>
      </c>
      <c r="N65" s="7">
        <v>44.31428571428571</v>
      </c>
      <c r="O65" s="7">
        <v>44.31428571428571</v>
      </c>
      <c r="P65" s="2" t="s">
        <v>106</v>
      </c>
      <c r="Q65" s="2" t="s">
        <v>8</v>
      </c>
      <c r="R65" s="2" t="s">
        <v>78</v>
      </c>
      <c r="S65" s="2" t="s">
        <v>107</v>
      </c>
      <c r="T65" s="2" t="s">
        <v>375</v>
      </c>
      <c r="U65" s="2" t="s">
        <v>356</v>
      </c>
      <c r="V65" s="2" t="s">
        <v>357</v>
      </c>
      <c r="W65" s="2">
        <v>2</v>
      </c>
      <c r="X65" s="2" t="s">
        <v>135</v>
      </c>
      <c r="Y65" s="2" t="s">
        <v>434</v>
      </c>
      <c r="Z65" s="2"/>
      <c r="AA65" s="2" t="s">
        <v>112</v>
      </c>
      <c r="AB65" s="2" t="s">
        <v>113</v>
      </c>
      <c r="AC65" s="2" t="s">
        <v>114</v>
      </c>
      <c r="AD65" s="2" t="s">
        <v>86</v>
      </c>
      <c r="AE65" s="2" t="s">
        <v>115</v>
      </c>
    </row>
    <row r="66" spans="1:31" ht="29.25">
      <c r="A66" s="2" t="s">
        <v>450</v>
      </c>
      <c r="B66" s="2" t="s">
        <v>451</v>
      </c>
      <c r="C66" s="2" t="s">
        <v>452</v>
      </c>
      <c r="D66" s="2" t="s">
        <v>71</v>
      </c>
      <c r="E66" s="2" t="s">
        <v>32</v>
      </c>
      <c r="F66" s="2" t="s">
        <v>219</v>
      </c>
      <c r="G66" s="2" t="s">
        <v>355</v>
      </c>
      <c r="H66" s="2" t="s">
        <v>132</v>
      </c>
      <c r="I66" s="6">
        <v>0.9</v>
      </c>
      <c r="J66" s="2" t="s">
        <v>7</v>
      </c>
      <c r="K66" s="2" t="s">
        <v>75</v>
      </c>
      <c r="L66" s="2" t="s">
        <v>76</v>
      </c>
      <c r="M66" s="6">
        <v>0.82</v>
      </c>
      <c r="N66" s="7">
        <v>91.1111111111111</v>
      </c>
      <c r="O66" s="7">
        <v>91.1111111111111</v>
      </c>
      <c r="P66" s="2" t="s">
        <v>77</v>
      </c>
      <c r="Q66" s="2" t="s">
        <v>8</v>
      </c>
      <c r="R66" s="2" t="s">
        <v>78</v>
      </c>
      <c r="S66" s="2" t="s">
        <v>243</v>
      </c>
      <c r="T66" s="2" t="s">
        <v>32</v>
      </c>
      <c r="U66" s="2" t="s">
        <v>376</v>
      </c>
      <c r="V66" s="2" t="s">
        <v>453</v>
      </c>
      <c r="W66" s="2">
        <v>4</v>
      </c>
      <c r="X66" s="2" t="s">
        <v>135</v>
      </c>
      <c r="Y66" s="2" t="s">
        <v>454</v>
      </c>
      <c r="Z66" s="2"/>
      <c r="AA66" s="2" t="s">
        <v>125</v>
      </c>
      <c r="AB66" s="2" t="s">
        <v>244</v>
      </c>
      <c r="AC66" s="2" t="s">
        <v>245</v>
      </c>
      <c r="AD66" s="2" t="s">
        <v>11</v>
      </c>
      <c r="AE66" s="2" t="s">
        <v>78</v>
      </c>
    </row>
    <row r="67" spans="1:31" ht="43.5">
      <c r="A67" s="2" t="s">
        <v>455</v>
      </c>
      <c r="B67" s="2" t="s">
        <v>456</v>
      </c>
      <c r="C67" s="2" t="s">
        <v>457</v>
      </c>
      <c r="D67" s="2" t="s">
        <v>71</v>
      </c>
      <c r="E67" s="2" t="s">
        <v>33</v>
      </c>
      <c r="F67" s="2" t="s">
        <v>220</v>
      </c>
      <c r="G67" s="2" t="s">
        <v>334</v>
      </c>
      <c r="H67" s="2" t="s">
        <v>458</v>
      </c>
      <c r="I67" s="6">
        <v>4</v>
      </c>
      <c r="J67" s="2" t="s">
        <v>10</v>
      </c>
      <c r="K67" s="2" t="s">
        <v>336</v>
      </c>
      <c r="L67" s="2" t="s">
        <v>337</v>
      </c>
      <c r="M67" s="6">
        <v>6</v>
      </c>
      <c r="N67" s="7"/>
      <c r="O67" s="7"/>
      <c r="P67" s="2" t="s">
        <v>77</v>
      </c>
      <c r="Q67" s="2" t="s">
        <v>8</v>
      </c>
      <c r="R67" s="2" t="s">
        <v>78</v>
      </c>
      <c r="S67" s="2" t="s">
        <v>328</v>
      </c>
      <c r="T67" s="2" t="s">
        <v>338</v>
      </c>
      <c r="U67" s="2" t="s">
        <v>220</v>
      </c>
      <c r="V67" s="2" t="s">
        <v>459</v>
      </c>
      <c r="W67" s="2">
        <v>1</v>
      </c>
      <c r="X67" s="2" t="s">
        <v>135</v>
      </c>
      <c r="Y67" s="2" t="s">
        <v>364</v>
      </c>
      <c r="Z67" s="2"/>
      <c r="AA67" s="2" t="s">
        <v>341</v>
      </c>
      <c r="AB67" s="2" t="s">
        <v>342</v>
      </c>
      <c r="AC67" s="2" t="s">
        <v>343</v>
      </c>
      <c r="AD67" s="2" t="s">
        <v>8</v>
      </c>
      <c r="AE67" s="2" t="s">
        <v>344</v>
      </c>
    </row>
    <row r="68" spans="1:31" ht="43.5">
      <c r="A68" s="2" t="s">
        <v>460</v>
      </c>
      <c r="B68" s="2" t="s">
        <v>461</v>
      </c>
      <c r="C68" s="2" t="s">
        <v>462</v>
      </c>
      <c r="D68" s="2" t="s">
        <v>71</v>
      </c>
      <c r="E68" s="2" t="s">
        <v>21</v>
      </c>
      <c r="F68" s="2" t="s">
        <v>249</v>
      </c>
      <c r="G68" s="2" t="s">
        <v>387</v>
      </c>
      <c r="H68" s="2" t="s">
        <v>388</v>
      </c>
      <c r="I68" s="6">
        <v>506974.68</v>
      </c>
      <c r="J68" s="2" t="s">
        <v>7</v>
      </c>
      <c r="K68" s="2" t="s">
        <v>75</v>
      </c>
      <c r="L68" s="2" t="s">
        <v>76</v>
      </c>
      <c r="M68" s="6">
        <v>485973.6</v>
      </c>
      <c r="N68" s="7">
        <v>95.85756827145687</v>
      </c>
      <c r="O68" s="7">
        <v>95.85756827145687</v>
      </c>
      <c r="P68" s="2" t="s">
        <v>106</v>
      </c>
      <c r="Q68" s="2" t="s">
        <v>8</v>
      </c>
      <c r="R68" s="2" t="s">
        <v>78</v>
      </c>
      <c r="S68" s="2" t="s">
        <v>107</v>
      </c>
      <c r="T68" s="2" t="s">
        <v>375</v>
      </c>
      <c r="U68" s="2" t="s">
        <v>356</v>
      </c>
      <c r="V68" s="2" t="s">
        <v>357</v>
      </c>
      <c r="W68" s="2">
        <v>2</v>
      </c>
      <c r="X68" s="2" t="s">
        <v>388</v>
      </c>
      <c r="Y68" s="2" t="s">
        <v>463</v>
      </c>
      <c r="Z68" s="2"/>
      <c r="AA68" s="2" t="s">
        <v>112</v>
      </c>
      <c r="AB68" s="2" t="s">
        <v>113</v>
      </c>
      <c r="AC68" s="2" t="s">
        <v>114</v>
      </c>
      <c r="AD68" s="2" t="s">
        <v>86</v>
      </c>
      <c r="AE68" s="2" t="s">
        <v>115</v>
      </c>
    </row>
    <row r="69" spans="1:31" ht="43.5">
      <c r="A69" s="2" t="s">
        <v>464</v>
      </c>
      <c r="B69" s="2" t="s">
        <v>340</v>
      </c>
      <c r="C69" s="2" t="s">
        <v>465</v>
      </c>
      <c r="D69" s="2" t="s">
        <v>71</v>
      </c>
      <c r="E69" s="2" t="s">
        <v>25</v>
      </c>
      <c r="F69" s="2" t="s">
        <v>199</v>
      </c>
      <c r="G69" s="2" t="s">
        <v>200</v>
      </c>
      <c r="H69" s="2" t="s">
        <v>74</v>
      </c>
      <c r="I69" s="6">
        <v>0.05</v>
      </c>
      <c r="J69" s="2" t="s">
        <v>7</v>
      </c>
      <c r="K69" s="2" t="s">
        <v>75</v>
      </c>
      <c r="L69" s="2" t="s">
        <v>76</v>
      </c>
      <c r="M69" s="6">
        <v>1</v>
      </c>
      <c r="N69" s="7">
        <v>2000</v>
      </c>
      <c r="O69" s="7">
        <v>100</v>
      </c>
      <c r="P69" s="2" t="s">
        <v>106</v>
      </c>
      <c r="Q69" s="2" t="s">
        <v>8</v>
      </c>
      <c r="R69" s="2" t="s">
        <v>78</v>
      </c>
      <c r="S69" s="2" t="s">
        <v>107</v>
      </c>
      <c r="T69" s="2" t="s">
        <v>466</v>
      </c>
      <c r="U69" s="2" t="s">
        <v>149</v>
      </c>
      <c r="V69" s="2" t="s">
        <v>467</v>
      </c>
      <c r="W69" s="2">
        <v>8</v>
      </c>
      <c r="X69" s="2" t="s">
        <v>370</v>
      </c>
      <c r="Y69" s="2" t="s">
        <v>272</v>
      </c>
      <c r="Z69" s="2"/>
      <c r="AA69" s="2" t="s">
        <v>112</v>
      </c>
      <c r="AB69" s="2" t="s">
        <v>113</v>
      </c>
      <c r="AC69" s="2" t="s">
        <v>114</v>
      </c>
      <c r="AD69" s="2" t="s">
        <v>86</v>
      </c>
      <c r="AE69" s="2" t="s">
        <v>115</v>
      </c>
    </row>
    <row r="70" spans="1:31" ht="43.5">
      <c r="A70" s="2" t="s">
        <v>468</v>
      </c>
      <c r="B70" s="2" t="s">
        <v>469</v>
      </c>
      <c r="C70" s="2" t="s">
        <v>470</v>
      </c>
      <c r="D70" s="2" t="s">
        <v>71</v>
      </c>
      <c r="E70" s="2" t="s">
        <v>25</v>
      </c>
      <c r="F70" s="2" t="s">
        <v>471</v>
      </c>
      <c r="G70" s="2" t="s">
        <v>200</v>
      </c>
      <c r="H70" s="2" t="s">
        <v>74</v>
      </c>
      <c r="I70" s="6">
        <v>0.05</v>
      </c>
      <c r="J70" s="2" t="s">
        <v>7</v>
      </c>
      <c r="K70" s="2" t="s">
        <v>75</v>
      </c>
      <c r="L70" s="2" t="s">
        <v>76</v>
      </c>
      <c r="M70" s="6">
        <v>0</v>
      </c>
      <c r="N70" s="7">
        <v>0</v>
      </c>
      <c r="O70" s="7">
        <v>0</v>
      </c>
      <c r="P70" s="2" t="s">
        <v>106</v>
      </c>
      <c r="Q70" s="2" t="s">
        <v>8</v>
      </c>
      <c r="R70" s="2" t="s">
        <v>78</v>
      </c>
      <c r="S70" s="2" t="s">
        <v>107</v>
      </c>
      <c r="T70" s="2" t="s">
        <v>80</v>
      </c>
      <c r="U70" s="2" t="s">
        <v>149</v>
      </c>
      <c r="V70" s="2" t="s">
        <v>472</v>
      </c>
      <c r="W70" s="2">
        <v>4</v>
      </c>
      <c r="X70" s="2" t="s">
        <v>135</v>
      </c>
      <c r="Y70" s="2" t="s">
        <v>272</v>
      </c>
      <c r="Z70" s="2"/>
      <c r="AA70" s="2" t="s">
        <v>112</v>
      </c>
      <c r="AB70" s="2" t="s">
        <v>113</v>
      </c>
      <c r="AC70" s="2" t="s">
        <v>114</v>
      </c>
      <c r="AD70" s="2" t="s">
        <v>86</v>
      </c>
      <c r="AE70" s="2" t="s">
        <v>115</v>
      </c>
    </row>
    <row r="71" spans="1:31" ht="43.5">
      <c r="A71" s="2" t="s">
        <v>473</v>
      </c>
      <c r="B71" s="2" t="s">
        <v>474</v>
      </c>
      <c r="C71" s="2" t="s">
        <v>475</v>
      </c>
      <c r="D71" s="2" t="s">
        <v>71</v>
      </c>
      <c r="E71" s="2" t="s">
        <v>32</v>
      </c>
      <c r="F71" s="2" t="s">
        <v>149</v>
      </c>
      <c r="G71" s="2" t="s">
        <v>18</v>
      </c>
      <c r="H71" s="2" t="s">
        <v>74</v>
      </c>
      <c r="I71" s="6">
        <v>0.05</v>
      </c>
      <c r="J71" s="2" t="s">
        <v>10</v>
      </c>
      <c r="K71" s="2" t="s">
        <v>75</v>
      </c>
      <c r="L71" s="2" t="s">
        <v>229</v>
      </c>
      <c r="M71" s="6">
        <v>0.05</v>
      </c>
      <c r="N71" s="7">
        <v>100</v>
      </c>
      <c r="O71" s="7">
        <v>100</v>
      </c>
      <c r="P71" s="2" t="s">
        <v>92</v>
      </c>
      <c r="Q71" s="2" t="s">
        <v>11</v>
      </c>
      <c r="R71" s="2" t="s">
        <v>78</v>
      </c>
      <c r="S71" s="2" t="s">
        <v>121</v>
      </c>
      <c r="T71" s="2" t="s">
        <v>32</v>
      </c>
      <c r="U71" s="2" t="s">
        <v>149</v>
      </c>
      <c r="V71" s="2" t="s">
        <v>476</v>
      </c>
      <c r="W71" s="2">
        <v>2</v>
      </c>
      <c r="X71" s="2" t="s">
        <v>74</v>
      </c>
      <c r="Y71" s="2" t="s">
        <v>272</v>
      </c>
      <c r="Z71" s="2"/>
      <c r="AA71" s="2" t="s">
        <v>125</v>
      </c>
      <c r="AB71" s="2" t="s">
        <v>258</v>
      </c>
      <c r="AC71" s="2" t="s">
        <v>259</v>
      </c>
      <c r="AD71" s="2" t="s">
        <v>11</v>
      </c>
      <c r="AE71" s="2" t="s">
        <v>78</v>
      </c>
    </row>
    <row r="72" spans="1:31" ht="57.75">
      <c r="A72" s="2" t="s">
        <v>477</v>
      </c>
      <c r="B72" s="2" t="s">
        <v>478</v>
      </c>
      <c r="C72" s="2" t="s">
        <v>479</v>
      </c>
      <c r="D72" s="2" t="s">
        <v>71</v>
      </c>
      <c r="E72" s="2" t="s">
        <v>32</v>
      </c>
      <c r="F72" s="2" t="s">
        <v>141</v>
      </c>
      <c r="G72" s="2" t="s">
        <v>18</v>
      </c>
      <c r="H72" s="2" t="s">
        <v>480</v>
      </c>
      <c r="I72" s="6">
        <v>30</v>
      </c>
      <c r="J72" s="2" t="s">
        <v>10</v>
      </c>
      <c r="K72" s="2" t="s">
        <v>75</v>
      </c>
      <c r="L72" s="2" t="s">
        <v>229</v>
      </c>
      <c r="M72" s="6">
        <v>45</v>
      </c>
      <c r="N72" s="7">
        <v>66.666666666666657</v>
      </c>
      <c r="O72" s="7">
        <v>66.666666666666657</v>
      </c>
      <c r="P72" s="2" t="s">
        <v>92</v>
      </c>
      <c r="Q72" s="2" t="s">
        <v>11</v>
      </c>
      <c r="R72" s="2" t="s">
        <v>78</v>
      </c>
      <c r="S72" s="2" t="s">
        <v>481</v>
      </c>
      <c r="T72" s="2" t="s">
        <v>32</v>
      </c>
      <c r="U72" s="2" t="s">
        <v>143</v>
      </c>
      <c r="V72" s="2" t="s">
        <v>144</v>
      </c>
      <c r="W72" s="2">
        <v>2</v>
      </c>
      <c r="X72" s="2" t="s">
        <v>480</v>
      </c>
      <c r="Y72" s="2" t="s">
        <v>482</v>
      </c>
      <c r="Z72" s="2"/>
      <c r="AA72" s="2" t="s">
        <v>125</v>
      </c>
      <c r="AB72" s="2" t="s">
        <v>258</v>
      </c>
      <c r="AC72" s="2" t="s">
        <v>259</v>
      </c>
      <c r="AD72" s="2" t="s">
        <v>11</v>
      </c>
      <c r="AE72" s="2" t="s">
        <v>78</v>
      </c>
    </row>
    <row r="73" spans="1:31" ht="57.75">
      <c r="A73" s="2" t="s">
        <v>483</v>
      </c>
      <c r="B73" s="2" t="s">
        <v>484</v>
      </c>
      <c r="C73" s="2" t="s">
        <v>485</v>
      </c>
      <c r="D73" s="2" t="s">
        <v>71</v>
      </c>
      <c r="E73" s="2" t="s">
        <v>32</v>
      </c>
      <c r="F73" s="2" t="s">
        <v>133</v>
      </c>
      <c r="G73" s="2" t="s">
        <v>18</v>
      </c>
      <c r="H73" s="2" t="s">
        <v>480</v>
      </c>
      <c r="I73" s="6">
        <v>6</v>
      </c>
      <c r="J73" s="2" t="s">
        <v>10</v>
      </c>
      <c r="K73" s="2" t="s">
        <v>75</v>
      </c>
      <c r="L73" s="2" t="s">
        <v>229</v>
      </c>
      <c r="M73" s="6">
        <v>7</v>
      </c>
      <c r="N73" s="7">
        <v>85.714285714285708</v>
      </c>
      <c r="O73" s="7">
        <v>85.714285714285708</v>
      </c>
      <c r="P73" s="2" t="s">
        <v>92</v>
      </c>
      <c r="Q73" s="2" t="s">
        <v>11</v>
      </c>
      <c r="R73" s="2" t="s">
        <v>78</v>
      </c>
      <c r="S73" s="2" t="s">
        <v>481</v>
      </c>
      <c r="T73" s="2" t="s">
        <v>32</v>
      </c>
      <c r="U73" s="2" t="s">
        <v>133</v>
      </c>
      <c r="V73" s="2" t="s">
        <v>134</v>
      </c>
      <c r="W73" s="2">
        <v>2</v>
      </c>
      <c r="X73" s="2" t="s">
        <v>480</v>
      </c>
      <c r="Y73" s="2" t="s">
        <v>340</v>
      </c>
      <c r="Z73" s="2"/>
      <c r="AA73" s="2" t="s">
        <v>125</v>
      </c>
      <c r="AB73" s="2" t="s">
        <v>258</v>
      </c>
      <c r="AC73" s="2" t="s">
        <v>259</v>
      </c>
      <c r="AD73" s="2" t="s">
        <v>11</v>
      </c>
      <c r="AE73" s="2" t="s">
        <v>78</v>
      </c>
    </row>
    <row r="74" spans="1:31" ht="43.5">
      <c r="A74" s="2" t="s">
        <v>486</v>
      </c>
      <c r="B74" s="2" t="s">
        <v>487</v>
      </c>
      <c r="C74" s="2" t="s">
        <v>488</v>
      </c>
      <c r="D74" s="2" t="s">
        <v>71</v>
      </c>
      <c r="E74" s="2" t="s">
        <v>32</v>
      </c>
      <c r="F74" s="2" t="s">
        <v>254</v>
      </c>
      <c r="G74" s="2" t="s">
        <v>312</v>
      </c>
      <c r="H74" s="2" t="s">
        <v>489</v>
      </c>
      <c r="I74" s="6">
        <v>1</v>
      </c>
      <c r="J74" s="2" t="s">
        <v>10</v>
      </c>
      <c r="K74" s="2" t="s">
        <v>336</v>
      </c>
      <c r="L74" s="2" t="s">
        <v>337</v>
      </c>
      <c r="M74" s="6">
        <v>44</v>
      </c>
      <c r="N74" s="7"/>
      <c r="O74" s="7"/>
      <c r="P74" s="2" t="s">
        <v>77</v>
      </c>
      <c r="Q74" s="2" t="s">
        <v>8</v>
      </c>
      <c r="R74" s="2" t="s">
        <v>78</v>
      </c>
      <c r="S74" s="2" t="s">
        <v>328</v>
      </c>
      <c r="T74" s="2" t="s">
        <v>32</v>
      </c>
      <c r="U74" s="2" t="s">
        <v>255</v>
      </c>
      <c r="V74" s="2" t="s">
        <v>256</v>
      </c>
      <c r="W74" s="2">
        <v>4</v>
      </c>
      <c r="X74" s="2" t="s">
        <v>489</v>
      </c>
      <c r="Y74" s="2" t="s">
        <v>69</v>
      </c>
      <c r="Z74" s="2"/>
      <c r="AA74" s="2" t="s">
        <v>341</v>
      </c>
      <c r="AB74" s="2" t="s">
        <v>342</v>
      </c>
      <c r="AC74" s="2" t="s">
        <v>343</v>
      </c>
      <c r="AD74" s="2" t="s">
        <v>8</v>
      </c>
      <c r="AE74" s="2" t="s">
        <v>344</v>
      </c>
    </row>
    <row r="75" spans="1:31" ht="43.5">
      <c r="A75" s="2" t="s">
        <v>490</v>
      </c>
      <c r="B75" s="2" t="s">
        <v>491</v>
      </c>
      <c r="C75" s="2" t="s">
        <v>492</v>
      </c>
      <c r="D75" s="2" t="s">
        <v>71</v>
      </c>
      <c r="E75" s="2" t="s">
        <v>32</v>
      </c>
      <c r="F75" s="2" t="s">
        <v>249</v>
      </c>
      <c r="G75" s="2" t="s">
        <v>312</v>
      </c>
      <c r="H75" s="2" t="s">
        <v>493</v>
      </c>
      <c r="I75" s="6">
        <v>1</v>
      </c>
      <c r="J75" s="2" t="s">
        <v>10</v>
      </c>
      <c r="K75" s="2" t="s">
        <v>336</v>
      </c>
      <c r="L75" s="2" t="s">
        <v>494</v>
      </c>
      <c r="M75" s="6">
        <v>1</v>
      </c>
      <c r="N75" s="7">
        <v>100</v>
      </c>
      <c r="O75" s="7">
        <v>100</v>
      </c>
      <c r="P75" s="2" t="s">
        <v>77</v>
      </c>
      <c r="Q75" s="2" t="s">
        <v>8</v>
      </c>
      <c r="R75" s="2" t="s">
        <v>78</v>
      </c>
      <c r="S75" s="2" t="s">
        <v>107</v>
      </c>
      <c r="T75" s="2" t="s">
        <v>32</v>
      </c>
      <c r="U75" s="2" t="s">
        <v>291</v>
      </c>
      <c r="V75" s="2" t="s">
        <v>292</v>
      </c>
      <c r="W75" s="2">
        <v>4</v>
      </c>
      <c r="X75" s="2" t="s">
        <v>495</v>
      </c>
      <c r="Y75" s="2" t="s">
        <v>69</v>
      </c>
      <c r="Z75" s="2"/>
      <c r="AA75" s="2" t="s">
        <v>341</v>
      </c>
      <c r="AB75" s="2" t="s">
        <v>342</v>
      </c>
      <c r="AC75" s="2" t="s">
        <v>343</v>
      </c>
      <c r="AD75" s="2" t="s">
        <v>8</v>
      </c>
      <c r="AE75" s="2" t="s">
        <v>344</v>
      </c>
    </row>
    <row r="76" spans="1:31" ht="43.5">
      <c r="A76" s="2" t="s">
        <v>496</v>
      </c>
      <c r="B76" s="2" t="s">
        <v>497</v>
      </c>
      <c r="C76" s="2" t="s">
        <v>498</v>
      </c>
      <c r="D76" s="2" t="s">
        <v>71</v>
      </c>
      <c r="E76" s="2" t="s">
        <v>25</v>
      </c>
      <c r="F76" s="2" t="s">
        <v>199</v>
      </c>
      <c r="G76" s="2" t="s">
        <v>200</v>
      </c>
      <c r="H76" s="2" t="s">
        <v>74</v>
      </c>
      <c r="I76" s="6">
        <v>0.05</v>
      </c>
      <c r="J76" s="2" t="s">
        <v>10</v>
      </c>
      <c r="K76" s="2" t="s">
        <v>75</v>
      </c>
      <c r="L76" s="2" t="s">
        <v>229</v>
      </c>
      <c r="M76" s="6">
        <v>0.05</v>
      </c>
      <c r="N76" s="7">
        <v>100</v>
      </c>
      <c r="O76" s="7">
        <v>100</v>
      </c>
      <c r="P76" s="2" t="s">
        <v>106</v>
      </c>
      <c r="Q76" s="2" t="s">
        <v>8</v>
      </c>
      <c r="R76" s="2" t="s">
        <v>78</v>
      </c>
      <c r="S76" s="2" t="s">
        <v>107</v>
      </c>
      <c r="T76" s="2" t="s">
        <v>466</v>
      </c>
      <c r="U76" s="2" t="s">
        <v>149</v>
      </c>
      <c r="V76" s="2" t="s">
        <v>467</v>
      </c>
      <c r="W76" s="2">
        <v>8</v>
      </c>
      <c r="X76" s="2" t="s">
        <v>370</v>
      </c>
      <c r="Y76" s="2" t="s">
        <v>272</v>
      </c>
      <c r="Z76" s="2"/>
      <c r="AA76" s="2" t="s">
        <v>112</v>
      </c>
      <c r="AB76" s="2" t="s">
        <v>113</v>
      </c>
      <c r="AC76" s="2" t="s">
        <v>114</v>
      </c>
      <c r="AD76" s="2" t="s">
        <v>86</v>
      </c>
      <c r="AE76" s="2" t="s">
        <v>115</v>
      </c>
    </row>
    <row r="77" spans="1:31" ht="43.5">
      <c r="A77" s="2" t="s">
        <v>499</v>
      </c>
      <c r="B77" s="2" t="s">
        <v>500</v>
      </c>
      <c r="C77" s="2" t="s">
        <v>501</v>
      </c>
      <c r="D77" s="2" t="s">
        <v>71</v>
      </c>
      <c r="E77" s="2" t="s">
        <v>25</v>
      </c>
      <c r="F77" s="2" t="s">
        <v>199</v>
      </c>
      <c r="G77" s="2" t="s">
        <v>200</v>
      </c>
      <c r="H77" s="2" t="s">
        <v>74</v>
      </c>
      <c r="I77" s="6">
        <v>0.1</v>
      </c>
      <c r="J77" s="2" t="s">
        <v>7</v>
      </c>
      <c r="K77" s="2" t="s">
        <v>75</v>
      </c>
      <c r="L77" s="2" t="s">
        <v>76</v>
      </c>
      <c r="M77" s="6">
        <v>0</v>
      </c>
      <c r="N77" s="7">
        <v>0</v>
      </c>
      <c r="O77" s="7">
        <v>0</v>
      </c>
      <c r="P77" s="2" t="s">
        <v>106</v>
      </c>
      <c r="Q77" s="2" t="s">
        <v>8</v>
      </c>
      <c r="R77" s="2" t="s">
        <v>78</v>
      </c>
      <c r="S77" s="2" t="s">
        <v>107</v>
      </c>
      <c r="T77" s="2" t="s">
        <v>466</v>
      </c>
      <c r="U77" s="2" t="s">
        <v>149</v>
      </c>
      <c r="V77" s="2" t="s">
        <v>502</v>
      </c>
      <c r="W77" s="2">
        <v>3</v>
      </c>
      <c r="X77" s="2" t="s">
        <v>135</v>
      </c>
      <c r="Y77" s="2" t="s">
        <v>83</v>
      </c>
      <c r="Z77" s="2"/>
      <c r="AA77" s="2" t="s">
        <v>112</v>
      </c>
      <c r="AB77" s="2" t="s">
        <v>113</v>
      </c>
      <c r="AC77" s="2" t="s">
        <v>114</v>
      </c>
      <c r="AD77" s="2" t="s">
        <v>86</v>
      </c>
      <c r="AE77" s="2" t="s">
        <v>115</v>
      </c>
    </row>
    <row r="78" spans="1:31" ht="43.5">
      <c r="A78" s="2" t="s">
        <v>503</v>
      </c>
      <c r="B78" s="2" t="s">
        <v>504</v>
      </c>
      <c r="C78" s="2" t="s">
        <v>505</v>
      </c>
      <c r="D78" s="2" t="s">
        <v>71</v>
      </c>
      <c r="E78" s="2" t="s">
        <v>36</v>
      </c>
      <c r="F78" s="2" t="s">
        <v>149</v>
      </c>
      <c r="G78" s="2" t="s">
        <v>506</v>
      </c>
      <c r="H78" s="2" t="s">
        <v>74</v>
      </c>
      <c r="I78" s="6">
        <v>0.2</v>
      </c>
      <c r="J78" s="2" t="s">
        <v>7</v>
      </c>
      <c r="K78" s="2" t="s">
        <v>75</v>
      </c>
      <c r="L78" s="2" t="s">
        <v>276</v>
      </c>
      <c r="M78" s="6">
        <v>0</v>
      </c>
      <c r="N78" s="7">
        <v>0</v>
      </c>
      <c r="O78" s="7">
        <v>0</v>
      </c>
      <c r="P78" s="2" t="s">
        <v>106</v>
      </c>
      <c r="Q78" s="2" t="s">
        <v>8</v>
      </c>
      <c r="R78" s="2" t="s">
        <v>78</v>
      </c>
      <c r="S78" s="2" t="s">
        <v>107</v>
      </c>
      <c r="T78" s="2" t="s">
        <v>80</v>
      </c>
      <c r="U78" s="2" t="s">
        <v>149</v>
      </c>
      <c r="V78" s="2" t="s">
        <v>507</v>
      </c>
      <c r="W78" s="2">
        <v>1</v>
      </c>
      <c r="X78" s="2" t="s">
        <v>135</v>
      </c>
      <c r="Y78" s="2" t="s">
        <v>96</v>
      </c>
      <c r="Z78" s="2"/>
      <c r="AA78" s="2" t="s">
        <v>341</v>
      </c>
      <c r="AB78" s="2" t="s">
        <v>508</v>
      </c>
      <c r="AC78" s="2" t="s">
        <v>509</v>
      </c>
      <c r="AD78" s="2" t="s">
        <v>8</v>
      </c>
      <c r="AE78" s="2" t="s">
        <v>510</v>
      </c>
    </row>
    <row r="79" spans="1:31" ht="45">
      <c r="A79" s="2" t="s">
        <v>511</v>
      </c>
      <c r="B79" s="2" t="s">
        <v>223</v>
      </c>
      <c r="C79" s="2" t="s">
        <v>512</v>
      </c>
      <c r="D79" s="2" t="s">
        <v>90</v>
      </c>
      <c r="E79" s="2" t="s">
        <v>27</v>
      </c>
      <c r="F79" s="2" t="s">
        <v>219</v>
      </c>
      <c r="G79" s="2" t="s">
        <v>513</v>
      </c>
      <c r="H79" s="2" t="s">
        <v>514</v>
      </c>
      <c r="I79" s="6">
        <v>1</v>
      </c>
      <c r="J79" s="2" t="s">
        <v>13</v>
      </c>
      <c r="K79" s="2" t="s">
        <v>513</v>
      </c>
      <c r="L79" s="2" t="s">
        <v>515</v>
      </c>
      <c r="M79" s="6">
        <v>1</v>
      </c>
      <c r="N79" s="7"/>
      <c r="O79" s="7"/>
      <c r="P79" s="2" t="s">
        <v>92</v>
      </c>
      <c r="Q79" s="2" t="s">
        <v>14</v>
      </c>
      <c r="R79" s="2" t="s">
        <v>78</v>
      </c>
      <c r="S79" s="2" t="s">
        <v>93</v>
      </c>
      <c r="T79" s="2" t="s">
        <v>516</v>
      </c>
      <c r="U79" s="2" t="s">
        <v>376</v>
      </c>
      <c r="V79" s="2" t="s">
        <v>517</v>
      </c>
      <c r="W79" s="2">
        <v>6</v>
      </c>
      <c r="X79" s="2" t="s">
        <v>518</v>
      </c>
      <c r="Y79" s="2" t="s">
        <v>69</v>
      </c>
      <c r="Z79" s="2"/>
      <c r="AA79" s="2" t="s">
        <v>97</v>
      </c>
      <c r="AB79" s="2" t="s">
        <v>98</v>
      </c>
      <c r="AC79" s="2" t="s">
        <v>99</v>
      </c>
      <c r="AD79" s="2" t="s">
        <v>14</v>
      </c>
      <c r="AE79" s="2" t="s">
        <v>100</v>
      </c>
    </row>
    <row r="80" spans="1:31" ht="57.75">
      <c r="A80" s="2" t="s">
        <v>519</v>
      </c>
      <c r="B80" s="2" t="s">
        <v>520</v>
      </c>
      <c r="C80" s="2" t="s">
        <v>521</v>
      </c>
      <c r="D80" s="2" t="s">
        <v>522</v>
      </c>
      <c r="E80" s="2" t="s">
        <v>27</v>
      </c>
      <c r="F80" s="2" t="s">
        <v>219</v>
      </c>
      <c r="G80" s="2" t="s">
        <v>513</v>
      </c>
      <c r="H80" s="2" t="s">
        <v>514</v>
      </c>
      <c r="I80" s="6"/>
      <c r="J80" s="2" t="s">
        <v>13</v>
      </c>
      <c r="K80" s="2" t="s">
        <v>513</v>
      </c>
      <c r="L80" s="2" t="s">
        <v>515</v>
      </c>
      <c r="M80" s="6"/>
      <c r="N80" s="7"/>
      <c r="O80" s="7"/>
      <c r="P80" s="2" t="s">
        <v>92</v>
      </c>
      <c r="Q80" s="2" t="s">
        <v>11</v>
      </c>
      <c r="R80" s="2" t="s">
        <v>78</v>
      </c>
      <c r="S80" s="2" t="s">
        <v>523</v>
      </c>
      <c r="T80" s="2" t="s">
        <v>516</v>
      </c>
      <c r="U80" s="2"/>
      <c r="V80" s="2" t="s">
        <v>94</v>
      </c>
      <c r="W80" s="2">
        <v>1</v>
      </c>
      <c r="X80" s="2"/>
      <c r="Y80" s="2"/>
      <c r="Z80" s="2"/>
      <c r="AA80" s="2" t="s">
        <v>341</v>
      </c>
      <c r="AB80" s="2" t="s">
        <v>524</v>
      </c>
      <c r="AC80" s="2" t="s">
        <v>525</v>
      </c>
      <c r="AD80" s="2" t="s">
        <v>11</v>
      </c>
      <c r="AE80" s="2" t="s">
        <v>78</v>
      </c>
    </row>
    <row r="81" spans="1:31" ht="57.75">
      <c r="A81" s="2" t="s">
        <v>526</v>
      </c>
      <c r="B81" s="2" t="s">
        <v>527</v>
      </c>
      <c r="C81" s="2" t="s">
        <v>528</v>
      </c>
      <c r="D81" s="2" t="s">
        <v>522</v>
      </c>
      <c r="E81" s="2" t="s">
        <v>27</v>
      </c>
      <c r="F81" s="2" t="s">
        <v>219</v>
      </c>
      <c r="G81" s="2" t="s">
        <v>513</v>
      </c>
      <c r="H81" s="2" t="s">
        <v>132</v>
      </c>
      <c r="I81" s="6"/>
      <c r="J81" s="2" t="s">
        <v>13</v>
      </c>
      <c r="K81" s="2" t="s">
        <v>513</v>
      </c>
      <c r="L81" s="2" t="s">
        <v>515</v>
      </c>
      <c r="M81" s="6"/>
      <c r="N81" s="7"/>
      <c r="O81" s="7"/>
      <c r="P81" s="2" t="s">
        <v>92</v>
      </c>
      <c r="Q81" s="2" t="s">
        <v>11</v>
      </c>
      <c r="R81" s="2" t="s">
        <v>78</v>
      </c>
      <c r="S81" s="2" t="s">
        <v>523</v>
      </c>
      <c r="T81" s="2" t="s">
        <v>516</v>
      </c>
      <c r="U81" s="2"/>
      <c r="V81" s="2" t="s">
        <v>94</v>
      </c>
      <c r="W81" s="2">
        <v>1</v>
      </c>
      <c r="X81" s="2"/>
      <c r="Y81" s="2"/>
      <c r="Z81" s="2"/>
      <c r="AA81" s="2" t="s">
        <v>341</v>
      </c>
      <c r="AB81" s="2" t="s">
        <v>524</v>
      </c>
      <c r="AC81" s="2" t="s">
        <v>525</v>
      </c>
      <c r="AD81" s="2" t="s">
        <v>11</v>
      </c>
      <c r="AE81" s="2" t="s">
        <v>78</v>
      </c>
    </row>
    <row r="82" spans="1:31" ht="57.75">
      <c r="A82" s="2" t="s">
        <v>529</v>
      </c>
      <c r="B82" s="2" t="s">
        <v>530</v>
      </c>
      <c r="C82" s="2" t="s">
        <v>531</v>
      </c>
      <c r="D82" s="2" t="s">
        <v>522</v>
      </c>
      <c r="E82" s="2" t="s">
        <v>27</v>
      </c>
      <c r="F82" s="2" t="s">
        <v>219</v>
      </c>
      <c r="G82" s="2" t="s">
        <v>513</v>
      </c>
      <c r="H82" s="2" t="s">
        <v>514</v>
      </c>
      <c r="I82" s="6"/>
      <c r="J82" s="2" t="s">
        <v>13</v>
      </c>
      <c r="K82" s="2" t="s">
        <v>513</v>
      </c>
      <c r="L82" s="2" t="s">
        <v>515</v>
      </c>
      <c r="M82" s="6"/>
      <c r="N82" s="7"/>
      <c r="O82" s="7"/>
      <c r="P82" s="2" t="s">
        <v>92</v>
      </c>
      <c r="Q82" s="2" t="s">
        <v>11</v>
      </c>
      <c r="R82" s="2" t="s">
        <v>78</v>
      </c>
      <c r="S82" s="2" t="s">
        <v>523</v>
      </c>
      <c r="T82" s="2" t="s">
        <v>516</v>
      </c>
      <c r="U82" s="2"/>
      <c r="V82" s="2" t="s">
        <v>94</v>
      </c>
      <c r="W82" s="2">
        <v>1</v>
      </c>
      <c r="X82" s="2"/>
      <c r="Y82" s="2"/>
      <c r="Z82" s="2"/>
      <c r="AA82" s="2" t="s">
        <v>341</v>
      </c>
      <c r="AB82" s="2" t="s">
        <v>524</v>
      </c>
      <c r="AC82" s="2" t="s">
        <v>525</v>
      </c>
      <c r="AD82" s="2" t="s">
        <v>11</v>
      </c>
      <c r="AE82" s="2" t="s">
        <v>78</v>
      </c>
    </row>
    <row r="83" spans="1:31" ht="57.75">
      <c r="A83" s="2" t="s">
        <v>532</v>
      </c>
      <c r="B83" s="2" t="s">
        <v>533</v>
      </c>
      <c r="C83" s="2" t="s">
        <v>534</v>
      </c>
      <c r="D83" s="2" t="s">
        <v>522</v>
      </c>
      <c r="E83" s="2" t="s">
        <v>27</v>
      </c>
      <c r="F83" s="2" t="s">
        <v>219</v>
      </c>
      <c r="G83" s="2" t="s">
        <v>513</v>
      </c>
      <c r="H83" s="2" t="s">
        <v>514</v>
      </c>
      <c r="I83" s="6"/>
      <c r="J83" s="2" t="s">
        <v>13</v>
      </c>
      <c r="K83" s="2" t="s">
        <v>513</v>
      </c>
      <c r="L83" s="2" t="s">
        <v>515</v>
      </c>
      <c r="M83" s="6"/>
      <c r="N83" s="7"/>
      <c r="O83" s="7"/>
      <c r="P83" s="2" t="s">
        <v>92</v>
      </c>
      <c r="Q83" s="2" t="s">
        <v>11</v>
      </c>
      <c r="R83" s="2" t="s">
        <v>78</v>
      </c>
      <c r="S83" s="2" t="s">
        <v>523</v>
      </c>
      <c r="T83" s="2" t="s">
        <v>516</v>
      </c>
      <c r="U83" s="2"/>
      <c r="V83" s="2" t="s">
        <v>94</v>
      </c>
      <c r="W83" s="2">
        <v>1</v>
      </c>
      <c r="X83" s="2"/>
      <c r="Y83" s="2"/>
      <c r="Z83" s="2"/>
      <c r="AA83" s="2" t="s">
        <v>341</v>
      </c>
      <c r="AB83" s="2" t="s">
        <v>524</v>
      </c>
      <c r="AC83" s="2" t="s">
        <v>525</v>
      </c>
      <c r="AD83" s="2" t="s">
        <v>11</v>
      </c>
      <c r="AE83" s="2" t="s">
        <v>78</v>
      </c>
    </row>
    <row r="84" spans="1:31" ht="57.75">
      <c r="A84" s="2" t="s">
        <v>535</v>
      </c>
      <c r="B84" s="2" t="s">
        <v>536</v>
      </c>
      <c r="C84" s="2" t="s">
        <v>537</v>
      </c>
      <c r="D84" s="2" t="s">
        <v>522</v>
      </c>
      <c r="E84" s="2" t="s">
        <v>27</v>
      </c>
      <c r="F84" s="2" t="s">
        <v>219</v>
      </c>
      <c r="G84" s="2" t="s">
        <v>513</v>
      </c>
      <c r="H84" s="2" t="s">
        <v>514</v>
      </c>
      <c r="I84" s="6"/>
      <c r="J84" s="2" t="s">
        <v>13</v>
      </c>
      <c r="K84" s="2" t="s">
        <v>513</v>
      </c>
      <c r="L84" s="2" t="s">
        <v>515</v>
      </c>
      <c r="M84" s="6"/>
      <c r="N84" s="7"/>
      <c r="O84" s="7"/>
      <c r="P84" s="2" t="s">
        <v>92</v>
      </c>
      <c r="Q84" s="2" t="s">
        <v>11</v>
      </c>
      <c r="R84" s="2" t="s">
        <v>78</v>
      </c>
      <c r="S84" s="2" t="s">
        <v>523</v>
      </c>
      <c r="T84" s="2" t="s">
        <v>516</v>
      </c>
      <c r="U84" s="2"/>
      <c r="V84" s="2" t="s">
        <v>94</v>
      </c>
      <c r="W84" s="2">
        <v>1</v>
      </c>
      <c r="X84" s="2"/>
      <c r="Y84" s="2"/>
      <c r="Z84" s="2"/>
      <c r="AA84" s="2" t="s">
        <v>341</v>
      </c>
      <c r="AB84" s="2" t="s">
        <v>524</v>
      </c>
      <c r="AC84" s="2" t="s">
        <v>525</v>
      </c>
      <c r="AD84" s="2" t="s">
        <v>11</v>
      </c>
      <c r="AE84" s="2" t="s">
        <v>78</v>
      </c>
    </row>
    <row r="85" spans="1:31" ht="57.75">
      <c r="A85" s="2" t="s">
        <v>538</v>
      </c>
      <c r="B85" s="2" t="s">
        <v>539</v>
      </c>
      <c r="C85" s="2" t="s">
        <v>540</v>
      </c>
      <c r="D85" s="2" t="s">
        <v>522</v>
      </c>
      <c r="E85" s="2" t="s">
        <v>27</v>
      </c>
      <c r="F85" s="2" t="s">
        <v>219</v>
      </c>
      <c r="G85" s="2" t="s">
        <v>513</v>
      </c>
      <c r="H85" s="2" t="s">
        <v>514</v>
      </c>
      <c r="I85" s="6"/>
      <c r="J85" s="2" t="s">
        <v>13</v>
      </c>
      <c r="K85" s="2" t="s">
        <v>513</v>
      </c>
      <c r="L85" s="2" t="s">
        <v>515</v>
      </c>
      <c r="M85" s="6"/>
      <c r="N85" s="7"/>
      <c r="O85" s="7"/>
      <c r="P85" s="2" t="s">
        <v>92</v>
      </c>
      <c r="Q85" s="2" t="s">
        <v>11</v>
      </c>
      <c r="R85" s="2" t="s">
        <v>78</v>
      </c>
      <c r="S85" s="2" t="s">
        <v>523</v>
      </c>
      <c r="T85" s="2" t="s">
        <v>516</v>
      </c>
      <c r="U85" s="2"/>
      <c r="V85" s="2" t="s">
        <v>94</v>
      </c>
      <c r="W85" s="2">
        <v>1</v>
      </c>
      <c r="X85" s="2"/>
      <c r="Y85" s="2"/>
      <c r="Z85" s="2"/>
      <c r="AA85" s="2" t="s">
        <v>341</v>
      </c>
      <c r="AB85" s="2" t="s">
        <v>524</v>
      </c>
      <c r="AC85" s="2" t="s">
        <v>525</v>
      </c>
      <c r="AD85" s="2" t="s">
        <v>11</v>
      </c>
      <c r="AE85" s="2" t="s">
        <v>78</v>
      </c>
    </row>
    <row r="86" spans="1:31" ht="57.75">
      <c r="A86" s="2" t="s">
        <v>541</v>
      </c>
      <c r="B86" s="2" t="s">
        <v>542</v>
      </c>
      <c r="C86" s="2" t="s">
        <v>543</v>
      </c>
      <c r="D86" s="2" t="s">
        <v>522</v>
      </c>
      <c r="E86" s="2" t="s">
        <v>27</v>
      </c>
      <c r="F86" s="2" t="s">
        <v>31</v>
      </c>
      <c r="G86" s="2" t="s">
        <v>513</v>
      </c>
      <c r="H86" s="2" t="s">
        <v>132</v>
      </c>
      <c r="I86" s="6"/>
      <c r="J86" s="2" t="s">
        <v>13</v>
      </c>
      <c r="K86" s="2" t="s">
        <v>513</v>
      </c>
      <c r="L86" s="2" t="s">
        <v>515</v>
      </c>
      <c r="M86" s="6"/>
      <c r="N86" s="7"/>
      <c r="O86" s="7"/>
      <c r="P86" s="2" t="s">
        <v>92</v>
      </c>
      <c r="Q86" s="2" t="s">
        <v>11</v>
      </c>
      <c r="R86" s="2" t="s">
        <v>78</v>
      </c>
      <c r="S86" s="2" t="s">
        <v>523</v>
      </c>
      <c r="T86" s="2" t="s">
        <v>516</v>
      </c>
      <c r="U86" s="2"/>
      <c r="V86" s="2" t="s">
        <v>94</v>
      </c>
      <c r="W86" s="2">
        <v>1</v>
      </c>
      <c r="X86" s="2"/>
      <c r="Y86" s="2"/>
      <c r="Z86" s="2"/>
      <c r="AA86" s="2" t="s">
        <v>341</v>
      </c>
      <c r="AB86" s="2" t="s">
        <v>524</v>
      </c>
      <c r="AC86" s="2" t="s">
        <v>525</v>
      </c>
      <c r="AD86" s="2" t="s">
        <v>11</v>
      </c>
      <c r="AE86" s="2" t="s">
        <v>78</v>
      </c>
    </row>
    <row r="87" spans="1:31" ht="57.75">
      <c r="A87" s="2" t="s">
        <v>544</v>
      </c>
      <c r="B87" s="2" t="s">
        <v>545</v>
      </c>
      <c r="C87" s="2" t="s">
        <v>546</v>
      </c>
      <c r="D87" s="2" t="s">
        <v>522</v>
      </c>
      <c r="E87" s="2" t="s">
        <v>27</v>
      </c>
      <c r="F87" s="2" t="s">
        <v>219</v>
      </c>
      <c r="G87" s="2" t="s">
        <v>513</v>
      </c>
      <c r="H87" s="2" t="s">
        <v>514</v>
      </c>
      <c r="I87" s="6"/>
      <c r="J87" s="2" t="s">
        <v>13</v>
      </c>
      <c r="K87" s="2" t="s">
        <v>513</v>
      </c>
      <c r="L87" s="2" t="s">
        <v>515</v>
      </c>
      <c r="M87" s="6"/>
      <c r="N87" s="7"/>
      <c r="O87" s="7"/>
      <c r="P87" s="2" t="s">
        <v>92</v>
      </c>
      <c r="Q87" s="2" t="s">
        <v>11</v>
      </c>
      <c r="R87" s="2" t="s">
        <v>78</v>
      </c>
      <c r="S87" s="2" t="s">
        <v>523</v>
      </c>
      <c r="T87" s="2" t="s">
        <v>516</v>
      </c>
      <c r="U87" s="2"/>
      <c r="V87" s="2" t="s">
        <v>94</v>
      </c>
      <c r="W87" s="2">
        <v>1</v>
      </c>
      <c r="X87" s="2"/>
      <c r="Y87" s="2"/>
      <c r="Z87" s="2"/>
      <c r="AA87" s="2" t="s">
        <v>341</v>
      </c>
      <c r="AB87" s="2" t="s">
        <v>524</v>
      </c>
      <c r="AC87" s="2" t="s">
        <v>525</v>
      </c>
      <c r="AD87" s="2" t="s">
        <v>11</v>
      </c>
      <c r="AE87" s="2" t="s">
        <v>78</v>
      </c>
    </row>
    <row r="88" spans="1:31" ht="57.75">
      <c r="A88" s="2" t="s">
        <v>547</v>
      </c>
      <c r="B88" s="2" t="s">
        <v>548</v>
      </c>
      <c r="C88" s="2" t="s">
        <v>549</v>
      </c>
      <c r="D88" s="2" t="s">
        <v>522</v>
      </c>
      <c r="E88" s="2" t="s">
        <v>27</v>
      </c>
      <c r="F88" s="2" t="s">
        <v>219</v>
      </c>
      <c r="G88" s="2" t="s">
        <v>513</v>
      </c>
      <c r="H88" s="2" t="s">
        <v>514</v>
      </c>
      <c r="I88" s="6"/>
      <c r="J88" s="2" t="s">
        <v>13</v>
      </c>
      <c r="K88" s="2" t="s">
        <v>513</v>
      </c>
      <c r="L88" s="2" t="s">
        <v>515</v>
      </c>
      <c r="M88" s="6"/>
      <c r="N88" s="7"/>
      <c r="O88" s="7"/>
      <c r="P88" s="2" t="s">
        <v>92</v>
      </c>
      <c r="Q88" s="2" t="s">
        <v>11</v>
      </c>
      <c r="R88" s="2" t="s">
        <v>78</v>
      </c>
      <c r="S88" s="2" t="s">
        <v>523</v>
      </c>
      <c r="T88" s="2" t="s">
        <v>516</v>
      </c>
      <c r="U88" s="2"/>
      <c r="V88" s="2" t="s">
        <v>94</v>
      </c>
      <c r="W88" s="2">
        <v>1</v>
      </c>
      <c r="X88" s="2"/>
      <c r="Y88" s="2"/>
      <c r="Z88" s="2"/>
      <c r="AA88" s="2" t="s">
        <v>341</v>
      </c>
      <c r="AB88" s="2" t="s">
        <v>524</v>
      </c>
      <c r="AC88" s="2" t="s">
        <v>525</v>
      </c>
      <c r="AD88" s="2" t="s">
        <v>11</v>
      </c>
      <c r="AE88" s="2" t="s">
        <v>78</v>
      </c>
    </row>
    <row r="89" spans="1:31" ht="57.75">
      <c r="A89" s="2" t="s">
        <v>550</v>
      </c>
      <c r="B89" s="2" t="s">
        <v>551</v>
      </c>
      <c r="C89" s="2" t="s">
        <v>552</v>
      </c>
      <c r="D89" s="2" t="s">
        <v>522</v>
      </c>
      <c r="E89" s="2" t="s">
        <v>27</v>
      </c>
      <c r="F89" s="2" t="s">
        <v>219</v>
      </c>
      <c r="G89" s="2" t="s">
        <v>513</v>
      </c>
      <c r="H89" s="2" t="s">
        <v>514</v>
      </c>
      <c r="I89" s="6"/>
      <c r="J89" s="2" t="s">
        <v>13</v>
      </c>
      <c r="K89" s="2" t="s">
        <v>513</v>
      </c>
      <c r="L89" s="2" t="s">
        <v>515</v>
      </c>
      <c r="M89" s="6"/>
      <c r="N89" s="7"/>
      <c r="O89" s="7"/>
      <c r="P89" s="2" t="s">
        <v>92</v>
      </c>
      <c r="Q89" s="2" t="s">
        <v>11</v>
      </c>
      <c r="R89" s="2" t="s">
        <v>78</v>
      </c>
      <c r="S89" s="2" t="s">
        <v>523</v>
      </c>
      <c r="T89" s="2" t="s">
        <v>516</v>
      </c>
      <c r="U89" s="2"/>
      <c r="V89" s="2" t="s">
        <v>94</v>
      </c>
      <c r="W89" s="2">
        <v>1</v>
      </c>
      <c r="X89" s="2"/>
      <c r="Y89" s="2"/>
      <c r="Z89" s="2"/>
      <c r="AA89" s="2" t="s">
        <v>341</v>
      </c>
      <c r="AB89" s="2" t="s">
        <v>524</v>
      </c>
      <c r="AC89" s="2" t="s">
        <v>525</v>
      </c>
      <c r="AD89" s="2" t="s">
        <v>11</v>
      </c>
      <c r="AE89" s="2" t="s">
        <v>78</v>
      </c>
    </row>
    <row r="90" spans="1:31" ht="57.75">
      <c r="A90" s="2" t="s">
        <v>553</v>
      </c>
      <c r="B90" s="2" t="s">
        <v>554</v>
      </c>
      <c r="C90" s="2" t="s">
        <v>555</v>
      </c>
      <c r="D90" s="2" t="s">
        <v>522</v>
      </c>
      <c r="E90" s="2" t="s">
        <v>27</v>
      </c>
      <c r="F90" s="2" t="s">
        <v>219</v>
      </c>
      <c r="G90" s="2" t="s">
        <v>513</v>
      </c>
      <c r="H90" s="2" t="s">
        <v>514</v>
      </c>
      <c r="I90" s="6"/>
      <c r="J90" s="2" t="s">
        <v>13</v>
      </c>
      <c r="K90" s="2" t="s">
        <v>513</v>
      </c>
      <c r="L90" s="2" t="s">
        <v>515</v>
      </c>
      <c r="M90" s="6"/>
      <c r="N90" s="7"/>
      <c r="O90" s="7"/>
      <c r="P90" s="2" t="s">
        <v>92</v>
      </c>
      <c r="Q90" s="2" t="s">
        <v>11</v>
      </c>
      <c r="R90" s="2" t="s">
        <v>78</v>
      </c>
      <c r="S90" s="2" t="s">
        <v>523</v>
      </c>
      <c r="T90" s="2" t="s">
        <v>516</v>
      </c>
      <c r="U90" s="2"/>
      <c r="V90" s="2" t="s">
        <v>94</v>
      </c>
      <c r="W90" s="2">
        <v>1</v>
      </c>
      <c r="X90" s="2"/>
      <c r="Y90" s="2"/>
      <c r="Z90" s="2"/>
      <c r="AA90" s="2" t="s">
        <v>341</v>
      </c>
      <c r="AB90" s="2" t="s">
        <v>524</v>
      </c>
      <c r="AC90" s="2" t="s">
        <v>525</v>
      </c>
      <c r="AD90" s="2" t="s">
        <v>11</v>
      </c>
      <c r="AE90" s="2" t="s">
        <v>78</v>
      </c>
    </row>
  </sheetData>
  <conditionalFormatting sqref="P2:P90">
    <cfRule type="expression" dxfId="18" priority="4">
      <formula>P2="HIGH"</formula>
    </cfRule>
    <cfRule type="expression" dxfId="17" priority="5">
      <formula>P2="LOW"</formula>
    </cfRule>
  </conditionalFormatting>
  <conditionalFormatting sqref="Q2:Q90">
    <cfRule type="expression" dxfId="16" priority="1">
      <formula>Q2="BLOCKED"</formula>
    </cfRule>
    <cfRule type="expression" dxfId="15" priority="2">
      <formula>Q2="PROPOSED"</formula>
    </cfRule>
    <cfRule type="expression" dxfId="14" priority="3">
      <formula>Q2="EXCLUDE / REVIEW"</formula>
    </cfRule>
  </conditionalFormatting>
  <conditionalFormatting sqref="AA2:AA90">
    <cfRule type="expression" dxfId="13" priority="6">
      <formula>LEFT(AA2,2)="P0"</formula>
    </cfRule>
    <cfRule type="expression" dxfId="12" priority="7">
      <formula>LEFT(AA2,2)="P1"</formula>
    </cfRule>
    <cfRule type="expression" dxfId="11" priority="8">
      <formula>LEFT(AA2,2)="P2"</formula>
    </cfRule>
    <cfRule type="expression" dxfId="10" priority="9">
      <formula>LEFT(AA2,2)="P3"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xr:uid="{00000000-0002-0000-0100-000000000000}">
          <x14:formula1>
            <xm:f>'Allowed Values'!$A$2:$A$5</xm:f>
          </x14:formula1>
          <xm:sqref>D2:D90</xm:sqref>
        </x14:dataValidation>
        <x14:dataValidation type="list" xr:uid="{00000000-0002-0000-0100-000001000000}">
          <x14:formula1>
            <xm:f>'Allowed Values'!$G$2:$G$14</xm:f>
          </x14:formula1>
          <xm:sqref>E2:E90</xm:sqref>
        </x14:dataValidation>
        <x14:dataValidation type="list" xr:uid="{00000000-0002-0000-0100-000002000000}">
          <x14:formula1>
            <xm:f>'Allowed Values'!$B$2:$B$8</xm:f>
          </x14:formula1>
          <xm:sqref>J2:J90</xm:sqref>
        </x14:dataValidation>
        <x14:dataValidation type="list" xr:uid="{00000000-0002-0000-0100-000003000000}">
          <x14:formula1>
            <xm:f>'Allowed Values'!$C$2:$C$9</xm:f>
          </x14:formula1>
          <xm:sqref>K2:K90</xm:sqref>
        </x14:dataValidation>
        <x14:dataValidation type="list" xr:uid="{00000000-0002-0000-0100-000004000000}">
          <x14:formula1>
            <xm:f>'Allowed Values'!$D$2:$D$4</xm:f>
          </x14:formula1>
          <xm:sqref>P2:P90</xm:sqref>
        </x14:dataValidation>
        <x14:dataValidation type="list" xr:uid="{00000000-0002-0000-0100-000005000000}">
          <x14:formula1>
            <xm:f>'Allowed Values'!$E$2:$E$6</xm:f>
          </x14:formula1>
          <xm:sqref>Q2:Q90</xm:sqref>
        </x14:dataValidation>
        <x14:dataValidation type="list" xr:uid="{00000000-0002-0000-0100-000006000000}">
          <x14:formula1>
            <xm:f>'Allowed Values'!$F$2:$F$3</xm:f>
          </x14:formula1>
          <xm:sqref>R2:R90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2"/>
  <sheetViews>
    <sheetView topLeftCell="A55" workbookViewId="0"/>
  </sheetViews>
  <sheetFormatPr baseColWidth="10" defaultColWidth="9" defaultRowHeight="14.25"/>
  <cols>
    <col min="1" max="1" width="12" customWidth="1"/>
    <col min="2" max="2" width="10" customWidth="1"/>
    <col min="3" max="3" width="42" customWidth="1"/>
    <col min="4" max="4" width="20" customWidth="1"/>
    <col min="5" max="5" width="24" customWidth="1"/>
    <col min="6" max="6" width="26" customWidth="1"/>
    <col min="7" max="7" width="24" customWidth="1"/>
    <col min="8" max="8" width="22" customWidth="1"/>
    <col min="9" max="9" width="12" customWidth="1"/>
    <col min="10" max="10" width="24" customWidth="1"/>
    <col min="11" max="11" width="26" customWidth="1"/>
    <col min="12" max="12" width="18" customWidth="1"/>
    <col min="13" max="13" width="14" customWidth="1"/>
    <col min="14" max="14" width="48" customWidth="1"/>
    <col min="15" max="15" width="30" customWidth="1"/>
    <col min="16" max="16" width="20" customWidth="1"/>
    <col min="17" max="17" width="40" customWidth="1"/>
    <col min="18" max="18" width="44" customWidth="1"/>
  </cols>
  <sheetData>
    <row r="1" spans="1:18" ht="3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5</v>
      </c>
      <c r="M1" s="1" t="s">
        <v>53</v>
      </c>
      <c r="N1" s="1" t="s">
        <v>55</v>
      </c>
      <c r="O1" s="1" t="s">
        <v>58</v>
      </c>
      <c r="P1" s="9" t="s">
        <v>63</v>
      </c>
      <c r="Q1" s="9" t="s">
        <v>64</v>
      </c>
      <c r="R1" s="9" t="s">
        <v>65</v>
      </c>
    </row>
    <row r="2" spans="1:18" ht="42.75">
      <c r="A2" s="2" t="s">
        <v>68</v>
      </c>
      <c r="B2" s="2" t="s">
        <v>69</v>
      </c>
      <c r="C2" s="2" t="s">
        <v>70</v>
      </c>
      <c r="D2" s="2" t="s">
        <v>71</v>
      </c>
      <c r="E2" s="2" t="s">
        <v>23</v>
      </c>
      <c r="F2" s="2" t="s">
        <v>72</v>
      </c>
      <c r="G2" s="2" t="s">
        <v>73</v>
      </c>
      <c r="H2" s="2" t="s">
        <v>74</v>
      </c>
      <c r="I2" s="2">
        <v>0.1</v>
      </c>
      <c r="J2" s="2" t="s">
        <v>7</v>
      </c>
      <c r="K2" s="2" t="s">
        <v>75</v>
      </c>
      <c r="L2" s="2" t="s">
        <v>8</v>
      </c>
      <c r="M2" s="2" t="s">
        <v>77</v>
      </c>
      <c r="N2" s="2" t="s">
        <v>79</v>
      </c>
      <c r="O2" s="2" t="s">
        <v>81</v>
      </c>
      <c r="P2" t="s">
        <v>84</v>
      </c>
      <c r="Q2" t="s">
        <v>85</v>
      </c>
      <c r="R2" t="s">
        <v>79</v>
      </c>
    </row>
    <row r="3" spans="1:18" ht="28.5">
      <c r="A3" s="2" t="s">
        <v>88</v>
      </c>
      <c r="B3" s="2" t="s">
        <v>69</v>
      </c>
      <c r="C3" s="2" t="s">
        <v>89</v>
      </c>
      <c r="D3" s="2" t="s">
        <v>90</v>
      </c>
      <c r="E3" s="2" t="s">
        <v>23</v>
      </c>
      <c r="F3" s="2" t="s">
        <v>72</v>
      </c>
      <c r="G3" s="2" t="s">
        <v>73</v>
      </c>
      <c r="H3" s="2" t="s">
        <v>91</v>
      </c>
      <c r="I3" s="2">
        <v>0.2</v>
      </c>
      <c r="J3" s="2" t="s">
        <v>7</v>
      </c>
      <c r="K3" s="2" t="s">
        <v>75</v>
      </c>
      <c r="L3" s="2" t="s">
        <v>14</v>
      </c>
      <c r="M3" s="2" t="s">
        <v>92</v>
      </c>
      <c r="N3" s="2" t="s">
        <v>93</v>
      </c>
      <c r="O3" s="2" t="s">
        <v>94</v>
      </c>
      <c r="P3" t="s">
        <v>97</v>
      </c>
      <c r="Q3" t="s">
        <v>98</v>
      </c>
      <c r="R3" t="s">
        <v>99</v>
      </c>
    </row>
    <row r="4" spans="1:18" ht="29.25">
      <c r="A4" s="2" t="s">
        <v>116</v>
      </c>
      <c r="B4" s="2" t="s">
        <v>117</v>
      </c>
      <c r="C4" s="2" t="s">
        <v>118</v>
      </c>
      <c r="D4" s="2" t="s">
        <v>71</v>
      </c>
      <c r="E4" s="2" t="s">
        <v>23</v>
      </c>
      <c r="F4" s="2" t="s">
        <v>119</v>
      </c>
      <c r="G4" s="2" t="s">
        <v>18</v>
      </c>
      <c r="H4" s="2" t="s">
        <v>91</v>
      </c>
      <c r="I4" s="2">
        <v>25000</v>
      </c>
      <c r="J4" s="2" t="s">
        <v>18</v>
      </c>
      <c r="K4" s="2" t="s">
        <v>18</v>
      </c>
      <c r="L4" s="2" t="s">
        <v>11</v>
      </c>
      <c r="M4" s="2" t="s">
        <v>92</v>
      </c>
      <c r="N4" s="2" t="s">
        <v>121</v>
      </c>
      <c r="O4" s="2" t="s">
        <v>123</v>
      </c>
      <c r="P4" t="s">
        <v>125</v>
      </c>
      <c r="Q4" t="s">
        <v>126</v>
      </c>
      <c r="R4" t="s">
        <v>127</v>
      </c>
    </row>
    <row r="5" spans="1:18" ht="29.25">
      <c r="A5" s="2" t="s">
        <v>128</v>
      </c>
      <c r="B5" s="2" t="s">
        <v>129</v>
      </c>
      <c r="C5" s="2" t="s">
        <v>130</v>
      </c>
      <c r="D5" s="2" t="s">
        <v>71</v>
      </c>
      <c r="E5" s="2" t="s">
        <v>31</v>
      </c>
      <c r="F5" s="2" t="s">
        <v>131</v>
      </c>
      <c r="G5" s="2" t="s">
        <v>18</v>
      </c>
      <c r="H5" s="2" t="s">
        <v>132</v>
      </c>
      <c r="I5" s="2">
        <v>0.2</v>
      </c>
      <c r="J5" s="2" t="s">
        <v>7</v>
      </c>
      <c r="K5" s="2" t="s">
        <v>75</v>
      </c>
      <c r="L5" s="2" t="s">
        <v>11</v>
      </c>
      <c r="M5" s="2" t="s">
        <v>92</v>
      </c>
      <c r="N5" s="2" t="s">
        <v>121</v>
      </c>
      <c r="O5" s="2" t="s">
        <v>134</v>
      </c>
      <c r="P5" t="s">
        <v>125</v>
      </c>
      <c r="Q5" t="s">
        <v>136</v>
      </c>
      <c r="R5" t="s">
        <v>137</v>
      </c>
    </row>
    <row r="6" spans="1:18" ht="28.5">
      <c r="A6" s="2" t="s">
        <v>138</v>
      </c>
      <c r="B6" s="2" t="s">
        <v>139</v>
      </c>
      <c r="C6" s="2" t="s">
        <v>140</v>
      </c>
      <c r="D6" s="2" t="s">
        <v>71</v>
      </c>
      <c r="E6" s="2" t="s">
        <v>23</v>
      </c>
      <c r="F6" s="2" t="s">
        <v>141</v>
      </c>
      <c r="G6" s="2" t="s">
        <v>73</v>
      </c>
      <c r="H6" s="2" t="s">
        <v>142</v>
      </c>
      <c r="I6" s="2">
        <v>0.2</v>
      </c>
      <c r="J6" s="2" t="s">
        <v>7</v>
      </c>
      <c r="K6" s="2" t="s">
        <v>75</v>
      </c>
      <c r="L6" s="2" t="s">
        <v>8</v>
      </c>
      <c r="M6" s="2" t="s">
        <v>77</v>
      </c>
      <c r="N6" s="2" t="s">
        <v>79</v>
      </c>
      <c r="O6" s="2" t="s">
        <v>144</v>
      </c>
      <c r="P6" t="s">
        <v>84</v>
      </c>
      <c r="Q6" t="s">
        <v>85</v>
      </c>
      <c r="R6" t="s">
        <v>79</v>
      </c>
    </row>
    <row r="7" spans="1:18" ht="28.5">
      <c r="A7" s="2" t="s">
        <v>146</v>
      </c>
      <c r="B7" s="2" t="s">
        <v>147</v>
      </c>
      <c r="C7" s="2" t="s">
        <v>148</v>
      </c>
      <c r="D7" s="2" t="s">
        <v>71</v>
      </c>
      <c r="E7" s="2" t="s">
        <v>23</v>
      </c>
      <c r="F7" s="2" t="s">
        <v>149</v>
      </c>
      <c r="G7" s="2" t="s">
        <v>73</v>
      </c>
      <c r="H7" s="2" t="s">
        <v>150</v>
      </c>
      <c r="I7" s="2">
        <v>1</v>
      </c>
      <c r="J7" s="2" t="s">
        <v>7</v>
      </c>
      <c r="K7" s="2" t="s">
        <v>75</v>
      </c>
      <c r="L7" s="2" t="s">
        <v>8</v>
      </c>
      <c r="M7" s="2" t="s">
        <v>77</v>
      </c>
      <c r="N7" s="2" t="s">
        <v>79</v>
      </c>
      <c r="O7" s="2" t="s">
        <v>151</v>
      </c>
      <c r="P7" t="s">
        <v>84</v>
      </c>
      <c r="Q7" t="s">
        <v>85</v>
      </c>
      <c r="R7" t="s">
        <v>79</v>
      </c>
    </row>
    <row r="8" spans="1:18" ht="15">
      <c r="A8" s="2" t="s">
        <v>153</v>
      </c>
      <c r="B8" s="2" t="s">
        <v>154</v>
      </c>
      <c r="C8" s="2" t="s">
        <v>155</v>
      </c>
      <c r="D8" s="2" t="s">
        <v>71</v>
      </c>
      <c r="E8" s="2" t="s">
        <v>31</v>
      </c>
      <c r="F8" s="2" t="s">
        <v>72</v>
      </c>
      <c r="G8" s="2" t="s">
        <v>18</v>
      </c>
      <c r="H8" s="2" t="s">
        <v>132</v>
      </c>
      <c r="I8" s="2">
        <v>15</v>
      </c>
      <c r="J8" s="2" t="s">
        <v>7</v>
      </c>
      <c r="K8" s="2" t="s">
        <v>75</v>
      </c>
      <c r="L8" s="2" t="s">
        <v>11</v>
      </c>
      <c r="M8" s="2" t="s">
        <v>92</v>
      </c>
      <c r="N8" s="2" t="s">
        <v>121</v>
      </c>
      <c r="O8" s="2" t="s">
        <v>108</v>
      </c>
      <c r="P8" t="s">
        <v>125</v>
      </c>
      <c r="Q8" t="s">
        <v>136</v>
      </c>
      <c r="R8" t="s">
        <v>137</v>
      </c>
    </row>
    <row r="9" spans="1:18" ht="28.5">
      <c r="A9" s="2" t="s">
        <v>165</v>
      </c>
      <c r="B9" s="2" t="s">
        <v>166</v>
      </c>
      <c r="C9" s="2" t="s">
        <v>167</v>
      </c>
      <c r="D9" s="2" t="s">
        <v>71</v>
      </c>
      <c r="E9" s="2" t="s">
        <v>23</v>
      </c>
      <c r="F9" s="2" t="s">
        <v>72</v>
      </c>
      <c r="G9" s="2" t="s">
        <v>73</v>
      </c>
      <c r="H9" s="2" t="s">
        <v>74</v>
      </c>
      <c r="I9" s="2">
        <v>0.2</v>
      </c>
      <c r="J9" s="2" t="s">
        <v>7</v>
      </c>
      <c r="K9" s="2" t="s">
        <v>75</v>
      </c>
      <c r="L9" s="2" t="s">
        <v>8</v>
      </c>
      <c r="M9" s="2" t="s">
        <v>77</v>
      </c>
      <c r="N9" s="2" t="s">
        <v>79</v>
      </c>
      <c r="O9" s="2" t="s">
        <v>168</v>
      </c>
      <c r="P9" t="s">
        <v>84</v>
      </c>
      <c r="Q9" t="s">
        <v>85</v>
      </c>
      <c r="R9" t="s">
        <v>79</v>
      </c>
    </row>
    <row r="10" spans="1:18" ht="29.25">
      <c r="A10" s="2" t="s">
        <v>169</v>
      </c>
      <c r="B10" s="2" t="s">
        <v>170</v>
      </c>
      <c r="C10" s="2" t="s">
        <v>171</v>
      </c>
      <c r="D10" s="2" t="s">
        <v>71</v>
      </c>
      <c r="E10" s="2" t="s">
        <v>23</v>
      </c>
      <c r="F10" s="2" t="s">
        <v>72</v>
      </c>
      <c r="G10" s="2" t="s">
        <v>73</v>
      </c>
      <c r="H10" s="2" t="s">
        <v>74</v>
      </c>
      <c r="I10" s="2">
        <v>0.2</v>
      </c>
      <c r="J10" s="2" t="s">
        <v>18</v>
      </c>
      <c r="K10" s="2" t="s">
        <v>18</v>
      </c>
      <c r="L10" s="2" t="s">
        <v>11</v>
      </c>
      <c r="M10" s="2" t="s">
        <v>92</v>
      </c>
      <c r="N10" s="2" t="s">
        <v>121</v>
      </c>
      <c r="O10" s="2" t="s">
        <v>108</v>
      </c>
      <c r="P10" t="s">
        <v>125</v>
      </c>
      <c r="Q10" t="s">
        <v>172</v>
      </c>
      <c r="R10" t="s">
        <v>173</v>
      </c>
    </row>
    <row r="11" spans="1:18" ht="28.5">
      <c r="A11" s="2" t="s">
        <v>180</v>
      </c>
      <c r="B11" s="2" t="s">
        <v>181</v>
      </c>
      <c r="C11" s="2" t="s">
        <v>182</v>
      </c>
      <c r="D11" s="2" t="s">
        <v>71</v>
      </c>
      <c r="E11" s="2" t="s">
        <v>23</v>
      </c>
      <c r="F11" s="2" t="s">
        <v>72</v>
      </c>
      <c r="G11" s="2" t="s">
        <v>73</v>
      </c>
      <c r="H11" s="2" t="s">
        <v>91</v>
      </c>
      <c r="I11" s="2">
        <v>0.2</v>
      </c>
      <c r="J11" s="2" t="s">
        <v>7</v>
      </c>
      <c r="K11" s="2" t="s">
        <v>75</v>
      </c>
      <c r="L11" s="2" t="s">
        <v>8</v>
      </c>
      <c r="M11" s="2" t="s">
        <v>77</v>
      </c>
      <c r="N11" s="2" t="s">
        <v>79</v>
      </c>
      <c r="O11" s="2" t="s">
        <v>183</v>
      </c>
      <c r="P11" t="s">
        <v>84</v>
      </c>
      <c r="Q11" t="s">
        <v>85</v>
      </c>
      <c r="R11" t="s">
        <v>79</v>
      </c>
    </row>
    <row r="12" spans="1:18" ht="28.5">
      <c r="A12" s="2" t="s">
        <v>191</v>
      </c>
      <c r="B12" s="2" t="s">
        <v>111</v>
      </c>
      <c r="C12" s="2" t="s">
        <v>192</v>
      </c>
      <c r="D12" s="2" t="s">
        <v>193</v>
      </c>
      <c r="E12" s="2" t="s">
        <v>31</v>
      </c>
      <c r="F12" s="2" t="s">
        <v>108</v>
      </c>
      <c r="G12" s="2" t="s">
        <v>18</v>
      </c>
      <c r="H12" s="2" t="s">
        <v>194</v>
      </c>
      <c r="I12" s="2">
        <v>1</v>
      </c>
      <c r="J12" s="2" t="s">
        <v>18</v>
      </c>
      <c r="K12" s="2" t="s">
        <v>18</v>
      </c>
      <c r="L12" s="2" t="s">
        <v>14</v>
      </c>
      <c r="M12" s="2" t="s">
        <v>92</v>
      </c>
      <c r="N12" s="2" t="s">
        <v>93</v>
      </c>
      <c r="O12" s="2" t="s">
        <v>195</v>
      </c>
      <c r="P12" t="s">
        <v>97</v>
      </c>
      <c r="Q12" t="s">
        <v>98</v>
      </c>
      <c r="R12" t="s">
        <v>99</v>
      </c>
    </row>
    <row r="13" spans="1:18" ht="28.5">
      <c r="A13" s="2" t="s">
        <v>196</v>
      </c>
      <c r="B13" s="2" t="s">
        <v>197</v>
      </c>
      <c r="C13" s="2" t="s">
        <v>198</v>
      </c>
      <c r="D13" s="2" t="s">
        <v>90</v>
      </c>
      <c r="E13" s="2" t="s">
        <v>25</v>
      </c>
      <c r="F13" s="2" t="s">
        <v>199</v>
      </c>
      <c r="G13" s="2" t="s">
        <v>200</v>
      </c>
      <c r="H13" s="2" t="s">
        <v>74</v>
      </c>
      <c r="I13" s="2">
        <v>0.1</v>
      </c>
      <c r="J13" s="2" t="s">
        <v>7</v>
      </c>
      <c r="K13" s="2" t="s">
        <v>75</v>
      </c>
      <c r="L13" s="2" t="s">
        <v>14</v>
      </c>
      <c r="M13" s="2" t="s">
        <v>92</v>
      </c>
      <c r="N13" s="2" t="s">
        <v>93</v>
      </c>
      <c r="O13" s="2" t="s">
        <v>94</v>
      </c>
      <c r="P13" t="s">
        <v>97</v>
      </c>
      <c r="Q13" t="s">
        <v>98</v>
      </c>
      <c r="R13" t="s">
        <v>99</v>
      </c>
    </row>
    <row r="14" spans="1:18" ht="28.5">
      <c r="A14" s="2" t="s">
        <v>204</v>
      </c>
      <c r="B14" s="2" t="s">
        <v>205</v>
      </c>
      <c r="C14" s="2" t="s">
        <v>206</v>
      </c>
      <c r="D14" s="2" t="s">
        <v>71</v>
      </c>
      <c r="E14" s="2" t="s">
        <v>29</v>
      </c>
      <c r="F14" s="2" t="s">
        <v>199</v>
      </c>
      <c r="G14" s="2" t="s">
        <v>73</v>
      </c>
      <c r="H14" s="2" t="s">
        <v>74</v>
      </c>
      <c r="I14" s="2">
        <v>0.1</v>
      </c>
      <c r="J14" s="2" t="s">
        <v>7</v>
      </c>
      <c r="K14" s="2" t="s">
        <v>75</v>
      </c>
      <c r="L14" s="2" t="s">
        <v>8</v>
      </c>
      <c r="M14" s="2" t="s">
        <v>77</v>
      </c>
      <c r="N14" s="2" t="s">
        <v>79</v>
      </c>
      <c r="O14" s="2" t="s">
        <v>209</v>
      </c>
      <c r="P14" t="s">
        <v>84</v>
      </c>
      <c r="Q14" t="s">
        <v>85</v>
      </c>
      <c r="R14" t="s">
        <v>79</v>
      </c>
    </row>
    <row r="15" spans="1:18" ht="29.25">
      <c r="A15" s="2" t="s">
        <v>210</v>
      </c>
      <c r="B15" s="2" t="s">
        <v>211</v>
      </c>
      <c r="C15" s="2" t="s">
        <v>212</v>
      </c>
      <c r="D15" s="2" t="s">
        <v>71</v>
      </c>
      <c r="E15" s="2" t="s">
        <v>29</v>
      </c>
      <c r="F15" s="2" t="s">
        <v>199</v>
      </c>
      <c r="G15" s="2" t="s">
        <v>213</v>
      </c>
      <c r="H15" s="2" t="s">
        <v>132</v>
      </c>
      <c r="I15" s="2">
        <v>0.1</v>
      </c>
      <c r="J15" s="2" t="s">
        <v>18</v>
      </c>
      <c r="K15" s="2" t="s">
        <v>18</v>
      </c>
      <c r="L15" s="2" t="s">
        <v>11</v>
      </c>
      <c r="M15" s="2" t="s">
        <v>92</v>
      </c>
      <c r="N15" s="2" t="s">
        <v>121</v>
      </c>
      <c r="O15" s="2" t="s">
        <v>134</v>
      </c>
      <c r="P15" t="s">
        <v>125</v>
      </c>
      <c r="Q15" t="s">
        <v>214</v>
      </c>
      <c r="R15" t="s">
        <v>215</v>
      </c>
    </row>
    <row r="16" spans="1:18" ht="29.25">
      <c r="A16" s="2" t="s">
        <v>216</v>
      </c>
      <c r="B16" s="2" t="s">
        <v>217</v>
      </c>
      <c r="C16" s="2" t="s">
        <v>218</v>
      </c>
      <c r="D16" s="2" t="s">
        <v>71</v>
      </c>
      <c r="E16" s="2" t="s">
        <v>29</v>
      </c>
      <c r="F16" s="2" t="s">
        <v>219</v>
      </c>
      <c r="G16" s="2" t="s">
        <v>213</v>
      </c>
      <c r="H16" s="2" t="s">
        <v>91</v>
      </c>
      <c r="I16" s="2">
        <v>8</v>
      </c>
      <c r="J16" s="2" t="s">
        <v>18</v>
      </c>
      <c r="K16" s="2" t="s">
        <v>18</v>
      </c>
      <c r="L16" s="2" t="s">
        <v>11</v>
      </c>
      <c r="M16" s="2" t="s">
        <v>92</v>
      </c>
      <c r="N16" s="2" t="s">
        <v>121</v>
      </c>
      <c r="O16" s="2" t="s">
        <v>221</v>
      </c>
      <c r="P16" t="s">
        <v>125</v>
      </c>
      <c r="Q16" t="s">
        <v>172</v>
      </c>
      <c r="R16" t="s">
        <v>173</v>
      </c>
    </row>
    <row r="17" spans="1:18" ht="29.25">
      <c r="A17" s="2" t="s">
        <v>235</v>
      </c>
      <c r="B17" s="2" t="s">
        <v>236</v>
      </c>
      <c r="C17" s="2" t="s">
        <v>237</v>
      </c>
      <c r="D17" s="2" t="s">
        <v>71</v>
      </c>
      <c r="E17" s="2" t="s">
        <v>31</v>
      </c>
      <c r="F17" s="2" t="s">
        <v>131</v>
      </c>
      <c r="G17" s="2" t="s">
        <v>200</v>
      </c>
      <c r="H17" s="2" t="s">
        <v>74</v>
      </c>
      <c r="I17" s="2">
        <v>0</v>
      </c>
      <c r="J17" s="2" t="s">
        <v>7</v>
      </c>
      <c r="K17" s="2" t="s">
        <v>75</v>
      </c>
      <c r="L17" s="2" t="s">
        <v>11</v>
      </c>
      <c r="M17" s="2" t="s">
        <v>92</v>
      </c>
      <c r="N17" s="2" t="s">
        <v>238</v>
      </c>
      <c r="O17" s="2" t="s">
        <v>134</v>
      </c>
      <c r="P17" t="s">
        <v>125</v>
      </c>
      <c r="Q17" t="s">
        <v>239</v>
      </c>
      <c r="R17" t="s">
        <v>238</v>
      </c>
    </row>
    <row r="18" spans="1:18" ht="28.5">
      <c r="A18" s="2" t="s">
        <v>240</v>
      </c>
      <c r="B18" s="2" t="s">
        <v>241</v>
      </c>
      <c r="C18" s="2" t="s">
        <v>242</v>
      </c>
      <c r="D18" s="2" t="s">
        <v>71</v>
      </c>
      <c r="E18" s="2" t="s">
        <v>29</v>
      </c>
      <c r="F18" s="2" t="s">
        <v>131</v>
      </c>
      <c r="G18" s="2" t="s">
        <v>213</v>
      </c>
      <c r="H18" s="2" t="s">
        <v>132</v>
      </c>
      <c r="I18" s="2">
        <v>0</v>
      </c>
      <c r="J18" s="2" t="s">
        <v>10</v>
      </c>
      <c r="K18" s="2" t="s">
        <v>75</v>
      </c>
      <c r="L18" s="2" t="s">
        <v>8</v>
      </c>
      <c r="M18" s="2" t="s">
        <v>77</v>
      </c>
      <c r="N18" s="2" t="s">
        <v>243</v>
      </c>
      <c r="O18" s="2" t="s">
        <v>134</v>
      </c>
      <c r="P18" t="s">
        <v>125</v>
      </c>
      <c r="Q18" t="s">
        <v>244</v>
      </c>
      <c r="R18" t="s">
        <v>245</v>
      </c>
    </row>
    <row r="19" spans="1:18" ht="28.5">
      <c r="A19" s="2" t="s">
        <v>246</v>
      </c>
      <c r="B19" s="2" t="s">
        <v>247</v>
      </c>
      <c r="C19" s="2" t="s">
        <v>248</v>
      </c>
      <c r="D19" s="2" t="s">
        <v>71</v>
      </c>
      <c r="E19" s="2" t="s">
        <v>29</v>
      </c>
      <c r="F19" s="2" t="s">
        <v>249</v>
      </c>
      <c r="G19" s="2" t="s">
        <v>213</v>
      </c>
      <c r="H19" s="2" t="s">
        <v>132</v>
      </c>
      <c r="I19" s="2">
        <v>0</v>
      </c>
      <c r="J19" s="2" t="s">
        <v>10</v>
      </c>
      <c r="K19" s="2" t="s">
        <v>75</v>
      </c>
      <c r="L19" s="2" t="s">
        <v>8</v>
      </c>
      <c r="M19" s="2" t="s">
        <v>77</v>
      </c>
      <c r="N19" s="2" t="s">
        <v>243</v>
      </c>
      <c r="O19" s="2" t="s">
        <v>250</v>
      </c>
      <c r="P19" t="s">
        <v>125</v>
      </c>
      <c r="Q19" t="s">
        <v>244</v>
      </c>
      <c r="R19" t="s">
        <v>245</v>
      </c>
    </row>
    <row r="20" spans="1:18" ht="29.25">
      <c r="A20" s="2" t="s">
        <v>251</v>
      </c>
      <c r="B20" s="2" t="s">
        <v>252</v>
      </c>
      <c r="C20" s="2" t="s">
        <v>253</v>
      </c>
      <c r="D20" s="2" t="s">
        <v>71</v>
      </c>
      <c r="E20" s="2" t="s">
        <v>31</v>
      </c>
      <c r="F20" s="2" t="s">
        <v>254</v>
      </c>
      <c r="G20" s="2" t="s">
        <v>18</v>
      </c>
      <c r="H20" s="2" t="s">
        <v>91</v>
      </c>
      <c r="I20" s="2">
        <v>0.1</v>
      </c>
      <c r="J20" s="2" t="s">
        <v>10</v>
      </c>
      <c r="K20" s="2" t="s">
        <v>75</v>
      </c>
      <c r="L20" s="2" t="s">
        <v>11</v>
      </c>
      <c r="M20" s="2" t="s">
        <v>92</v>
      </c>
      <c r="N20" s="2" t="s">
        <v>121</v>
      </c>
      <c r="O20" s="2" t="s">
        <v>256</v>
      </c>
      <c r="P20" t="s">
        <v>125</v>
      </c>
      <c r="Q20" t="s">
        <v>258</v>
      </c>
      <c r="R20" t="s">
        <v>259</v>
      </c>
    </row>
    <row r="21" spans="1:18" ht="29.25">
      <c r="A21" s="2" t="s">
        <v>260</v>
      </c>
      <c r="B21" s="2" t="s">
        <v>261</v>
      </c>
      <c r="C21" s="2" t="s">
        <v>262</v>
      </c>
      <c r="D21" s="2" t="s">
        <v>71</v>
      </c>
      <c r="E21" s="2" t="s">
        <v>29</v>
      </c>
      <c r="F21" s="2" t="s">
        <v>199</v>
      </c>
      <c r="G21" s="2" t="s">
        <v>213</v>
      </c>
      <c r="H21" s="2" t="s">
        <v>91</v>
      </c>
      <c r="I21" s="2">
        <v>0.03</v>
      </c>
      <c r="J21" s="2" t="s">
        <v>18</v>
      </c>
      <c r="K21" s="2" t="s">
        <v>18</v>
      </c>
      <c r="L21" s="2" t="s">
        <v>11</v>
      </c>
      <c r="M21" s="2" t="s">
        <v>92</v>
      </c>
      <c r="N21" s="2" t="s">
        <v>121</v>
      </c>
      <c r="O21" s="2" t="s">
        <v>123</v>
      </c>
      <c r="P21" t="s">
        <v>125</v>
      </c>
      <c r="Q21" t="s">
        <v>172</v>
      </c>
      <c r="R21" t="s">
        <v>173</v>
      </c>
    </row>
    <row r="22" spans="1:18" ht="29.25">
      <c r="A22" s="2" t="s">
        <v>277</v>
      </c>
      <c r="B22" s="2" t="s">
        <v>278</v>
      </c>
      <c r="C22" s="2" t="s">
        <v>279</v>
      </c>
      <c r="D22" s="2" t="s">
        <v>71</v>
      </c>
      <c r="E22" s="2" t="s">
        <v>31</v>
      </c>
      <c r="F22" s="2" t="s">
        <v>280</v>
      </c>
      <c r="G22" s="2" t="s">
        <v>18</v>
      </c>
      <c r="H22" s="2" t="s">
        <v>74</v>
      </c>
      <c r="I22" s="2">
        <v>0.1</v>
      </c>
      <c r="J22" s="2" t="s">
        <v>7</v>
      </c>
      <c r="K22" s="2" t="s">
        <v>75</v>
      </c>
      <c r="L22" s="2" t="s">
        <v>11</v>
      </c>
      <c r="M22" s="2" t="s">
        <v>92</v>
      </c>
      <c r="N22" s="2" t="s">
        <v>121</v>
      </c>
      <c r="O22" s="2" t="s">
        <v>282</v>
      </c>
      <c r="P22" t="s">
        <v>125</v>
      </c>
      <c r="Q22" t="s">
        <v>258</v>
      </c>
      <c r="R22" t="s">
        <v>259</v>
      </c>
    </row>
    <row r="23" spans="1:18" ht="28.5">
      <c r="A23" s="2" t="s">
        <v>305</v>
      </c>
      <c r="B23" s="2" t="s">
        <v>306</v>
      </c>
      <c r="C23" s="2" t="s">
        <v>307</v>
      </c>
      <c r="D23" s="2" t="s">
        <v>71</v>
      </c>
      <c r="E23" s="2" t="s">
        <v>29</v>
      </c>
      <c r="F23" s="2" t="s">
        <v>141</v>
      </c>
      <c r="G23" s="2" t="s">
        <v>213</v>
      </c>
      <c r="H23" s="2" t="s">
        <v>132</v>
      </c>
      <c r="I23" s="2">
        <v>0.05</v>
      </c>
      <c r="J23" s="2" t="s">
        <v>10</v>
      </c>
      <c r="K23" s="2" t="s">
        <v>75</v>
      </c>
      <c r="L23" s="2" t="s">
        <v>8</v>
      </c>
      <c r="M23" s="2" t="s">
        <v>77</v>
      </c>
      <c r="N23" s="2" t="s">
        <v>243</v>
      </c>
      <c r="O23" s="2" t="s">
        <v>144</v>
      </c>
      <c r="P23" t="s">
        <v>125</v>
      </c>
      <c r="Q23" t="s">
        <v>244</v>
      </c>
      <c r="R23" t="s">
        <v>245</v>
      </c>
    </row>
    <row r="24" spans="1:18" ht="72">
      <c r="A24" s="2" t="s">
        <v>308</v>
      </c>
      <c r="B24" s="2" t="s">
        <v>309</v>
      </c>
      <c r="C24" s="2" t="s">
        <v>310</v>
      </c>
      <c r="D24" s="2" t="s">
        <v>71</v>
      </c>
      <c r="E24" s="2" t="s">
        <v>34</v>
      </c>
      <c r="F24" s="2" t="s">
        <v>311</v>
      </c>
      <c r="G24" s="2" t="s">
        <v>312</v>
      </c>
      <c r="H24" s="2" t="s">
        <v>313</v>
      </c>
      <c r="I24" s="2">
        <v>1</v>
      </c>
      <c r="J24" s="2" t="s">
        <v>10</v>
      </c>
      <c r="K24" s="2" t="s">
        <v>314</v>
      </c>
      <c r="L24" s="2" t="s">
        <v>11</v>
      </c>
      <c r="M24" s="2" t="s">
        <v>92</v>
      </c>
      <c r="N24" s="2" t="s">
        <v>316</v>
      </c>
      <c r="O24" s="2" t="s">
        <v>319</v>
      </c>
      <c r="P24" t="s">
        <v>125</v>
      </c>
      <c r="Q24" t="s">
        <v>322</v>
      </c>
      <c r="R24" t="s">
        <v>323</v>
      </c>
    </row>
    <row r="25" spans="1:18" ht="42.75">
      <c r="A25" s="2" t="s">
        <v>324</v>
      </c>
      <c r="B25" s="2" t="s">
        <v>325</v>
      </c>
      <c r="C25" s="2" t="s">
        <v>326</v>
      </c>
      <c r="D25" s="2" t="s">
        <v>71</v>
      </c>
      <c r="E25" s="2" t="s">
        <v>31</v>
      </c>
      <c r="F25" s="2" t="s">
        <v>327</v>
      </c>
      <c r="G25" s="2" t="s">
        <v>312</v>
      </c>
      <c r="H25" s="2" t="s">
        <v>313</v>
      </c>
      <c r="I25" s="2">
        <v>0</v>
      </c>
      <c r="J25" s="2" t="s">
        <v>10</v>
      </c>
      <c r="K25" s="2" t="s">
        <v>314</v>
      </c>
      <c r="L25" s="2" t="s">
        <v>8</v>
      </c>
      <c r="M25" s="2" t="s">
        <v>77</v>
      </c>
      <c r="N25" s="2" t="s">
        <v>328</v>
      </c>
      <c r="O25" s="2" t="s">
        <v>330</v>
      </c>
      <c r="P25" t="s">
        <v>125</v>
      </c>
      <c r="Q25" t="s">
        <v>322</v>
      </c>
      <c r="R25" t="s">
        <v>323</v>
      </c>
    </row>
    <row r="26" spans="1:18" ht="28.5">
      <c r="A26" s="2" t="s">
        <v>331</v>
      </c>
      <c r="B26" s="2" t="s">
        <v>332</v>
      </c>
      <c r="C26" s="2" t="s">
        <v>333</v>
      </c>
      <c r="D26" s="2" t="s">
        <v>71</v>
      </c>
      <c r="E26" s="2" t="s">
        <v>33</v>
      </c>
      <c r="F26" s="2" t="s">
        <v>199</v>
      </c>
      <c r="G26" s="2" t="s">
        <v>334</v>
      </c>
      <c r="H26" s="2" t="s">
        <v>335</v>
      </c>
      <c r="I26" s="2">
        <v>6</v>
      </c>
      <c r="J26" s="2" t="s">
        <v>10</v>
      </c>
      <c r="K26" s="2" t="s">
        <v>336</v>
      </c>
      <c r="L26" s="2" t="s">
        <v>8</v>
      </c>
      <c r="M26" s="2" t="s">
        <v>77</v>
      </c>
      <c r="N26" s="2" t="s">
        <v>328</v>
      </c>
      <c r="O26" s="2" t="s">
        <v>209</v>
      </c>
      <c r="P26" t="s">
        <v>341</v>
      </c>
      <c r="Q26" t="s">
        <v>342</v>
      </c>
      <c r="R26" t="s">
        <v>343</v>
      </c>
    </row>
    <row r="27" spans="1:18" ht="29.25">
      <c r="A27" s="2" t="s">
        <v>345</v>
      </c>
      <c r="B27" s="2" t="s">
        <v>346</v>
      </c>
      <c r="C27" s="2" t="s">
        <v>347</v>
      </c>
      <c r="D27" s="2" t="s">
        <v>71</v>
      </c>
      <c r="E27" s="2" t="s">
        <v>33</v>
      </c>
      <c r="F27" s="2" t="s">
        <v>149</v>
      </c>
      <c r="G27" s="2" t="s">
        <v>334</v>
      </c>
      <c r="H27" s="2" t="s">
        <v>335</v>
      </c>
      <c r="I27" s="2">
        <v>1</v>
      </c>
      <c r="J27" s="2" t="s">
        <v>18</v>
      </c>
      <c r="K27" s="2" t="s">
        <v>18</v>
      </c>
      <c r="L27" s="2" t="s">
        <v>11</v>
      </c>
      <c r="M27" s="2" t="s">
        <v>92</v>
      </c>
      <c r="N27" s="2" t="s">
        <v>121</v>
      </c>
      <c r="O27" s="2" t="s">
        <v>151</v>
      </c>
      <c r="P27" t="s">
        <v>125</v>
      </c>
      <c r="Q27" t="s">
        <v>172</v>
      </c>
      <c r="R27" t="s">
        <v>173</v>
      </c>
    </row>
    <row r="28" spans="1:18" ht="28.5">
      <c r="A28" s="2" t="s">
        <v>348</v>
      </c>
      <c r="B28" s="2" t="s">
        <v>349</v>
      </c>
      <c r="C28" s="2" t="s">
        <v>350</v>
      </c>
      <c r="D28" s="2" t="s">
        <v>71</v>
      </c>
      <c r="E28" s="2" t="s">
        <v>34</v>
      </c>
      <c r="F28" s="2" t="s">
        <v>249</v>
      </c>
      <c r="G28" s="2" t="s">
        <v>312</v>
      </c>
      <c r="H28" s="2" t="s">
        <v>313</v>
      </c>
      <c r="I28" s="2">
        <v>0</v>
      </c>
      <c r="J28" s="2" t="s">
        <v>10</v>
      </c>
      <c r="K28" s="2" t="s">
        <v>314</v>
      </c>
      <c r="L28" s="2" t="s">
        <v>8</v>
      </c>
      <c r="M28" s="2" t="s">
        <v>77</v>
      </c>
      <c r="N28" s="2" t="s">
        <v>328</v>
      </c>
      <c r="O28" s="2" t="s">
        <v>250</v>
      </c>
      <c r="P28" t="s">
        <v>125</v>
      </c>
      <c r="Q28" t="s">
        <v>322</v>
      </c>
      <c r="R28" t="s">
        <v>323</v>
      </c>
    </row>
    <row r="29" spans="1:18" ht="28.5">
      <c r="A29" s="2" t="s">
        <v>371</v>
      </c>
      <c r="B29" s="2" t="s">
        <v>372</v>
      </c>
      <c r="C29" s="2" t="s">
        <v>373</v>
      </c>
      <c r="D29" s="2" t="s">
        <v>90</v>
      </c>
      <c r="E29" s="2" t="s">
        <v>21</v>
      </c>
      <c r="F29" s="2" t="s">
        <v>249</v>
      </c>
      <c r="G29" s="2" t="s">
        <v>374</v>
      </c>
      <c r="H29" s="2" t="s">
        <v>132</v>
      </c>
      <c r="I29" s="2">
        <v>3700</v>
      </c>
      <c r="J29" s="2" t="s">
        <v>7</v>
      </c>
      <c r="K29" s="2" t="s">
        <v>75</v>
      </c>
      <c r="L29" s="2" t="s">
        <v>14</v>
      </c>
      <c r="M29" s="2" t="s">
        <v>92</v>
      </c>
      <c r="N29" s="2" t="s">
        <v>93</v>
      </c>
      <c r="O29" s="2" t="s">
        <v>377</v>
      </c>
      <c r="P29" t="s">
        <v>97</v>
      </c>
      <c r="Q29" t="s">
        <v>98</v>
      </c>
      <c r="R29" t="s">
        <v>99</v>
      </c>
    </row>
    <row r="30" spans="1:18" ht="28.5">
      <c r="A30" s="2" t="s">
        <v>389</v>
      </c>
      <c r="B30" s="2" t="s">
        <v>390</v>
      </c>
      <c r="C30" s="2" t="s">
        <v>391</v>
      </c>
      <c r="D30" s="2" t="s">
        <v>71</v>
      </c>
      <c r="E30" s="2" t="s">
        <v>31</v>
      </c>
      <c r="F30" s="2" t="s">
        <v>141</v>
      </c>
      <c r="G30" s="2" t="s">
        <v>312</v>
      </c>
      <c r="H30" s="2" t="s">
        <v>392</v>
      </c>
      <c r="I30" s="2">
        <v>1</v>
      </c>
      <c r="J30" s="2" t="s">
        <v>10</v>
      </c>
      <c r="K30" s="2" t="s">
        <v>393</v>
      </c>
      <c r="L30" s="2" t="s">
        <v>8</v>
      </c>
      <c r="M30" s="2" t="s">
        <v>77</v>
      </c>
      <c r="N30" s="2" t="s">
        <v>328</v>
      </c>
      <c r="O30" s="2" t="s">
        <v>396</v>
      </c>
      <c r="P30" t="s">
        <v>341</v>
      </c>
      <c r="Q30" t="s">
        <v>342</v>
      </c>
      <c r="R30" t="s">
        <v>343</v>
      </c>
    </row>
    <row r="31" spans="1:18" ht="15">
      <c r="A31" s="2" t="s">
        <v>398</v>
      </c>
      <c r="B31" s="2" t="s">
        <v>399</v>
      </c>
      <c r="C31" s="2" t="s">
        <v>400</v>
      </c>
      <c r="D31" s="2" t="s">
        <v>71</v>
      </c>
      <c r="E31" s="2" t="s">
        <v>21</v>
      </c>
      <c r="F31" s="2" t="s">
        <v>249</v>
      </c>
      <c r="G31" s="2" t="s">
        <v>18</v>
      </c>
      <c r="H31" s="2" t="s">
        <v>401</v>
      </c>
      <c r="I31" s="2">
        <v>0.2</v>
      </c>
      <c r="J31" s="2" t="s">
        <v>7</v>
      </c>
      <c r="K31" s="2" t="s">
        <v>75</v>
      </c>
      <c r="L31" s="2" t="s">
        <v>11</v>
      </c>
      <c r="M31" s="2" t="s">
        <v>92</v>
      </c>
      <c r="N31" s="2" t="s">
        <v>121</v>
      </c>
      <c r="O31" s="2" t="s">
        <v>357</v>
      </c>
      <c r="P31" t="s">
        <v>125</v>
      </c>
      <c r="Q31" t="s">
        <v>258</v>
      </c>
      <c r="R31" t="s">
        <v>259</v>
      </c>
    </row>
    <row r="32" spans="1:18" ht="28.5">
      <c r="A32" s="2" t="s">
        <v>406</v>
      </c>
      <c r="B32" s="2" t="s">
        <v>407</v>
      </c>
      <c r="C32" s="2" t="s">
        <v>408</v>
      </c>
      <c r="D32" s="2" t="s">
        <v>71</v>
      </c>
      <c r="E32" s="2" t="s">
        <v>31</v>
      </c>
      <c r="F32" s="2" t="s">
        <v>133</v>
      </c>
      <c r="G32" s="2" t="s">
        <v>312</v>
      </c>
      <c r="H32" s="2" t="s">
        <v>313</v>
      </c>
      <c r="I32" s="2">
        <v>0</v>
      </c>
      <c r="J32" s="2" t="s">
        <v>10</v>
      </c>
      <c r="K32" s="2" t="s">
        <v>314</v>
      </c>
      <c r="L32" s="2" t="s">
        <v>8</v>
      </c>
      <c r="M32" s="2" t="s">
        <v>77</v>
      </c>
      <c r="N32" s="2" t="s">
        <v>328</v>
      </c>
      <c r="O32" s="2" t="s">
        <v>134</v>
      </c>
      <c r="P32" t="s">
        <v>125</v>
      </c>
      <c r="Q32" t="s">
        <v>322</v>
      </c>
      <c r="R32" t="s">
        <v>323</v>
      </c>
    </row>
    <row r="33" spans="1:18" ht="15">
      <c r="A33" s="2" t="s">
        <v>409</v>
      </c>
      <c r="B33" s="2" t="s">
        <v>410</v>
      </c>
      <c r="C33" s="2" t="s">
        <v>411</v>
      </c>
      <c r="D33" s="2" t="s">
        <v>71</v>
      </c>
      <c r="E33" s="2" t="s">
        <v>31</v>
      </c>
      <c r="F33" s="2" t="s">
        <v>149</v>
      </c>
      <c r="G33" s="2" t="s">
        <v>18</v>
      </c>
      <c r="H33" s="2" t="s">
        <v>412</v>
      </c>
      <c r="I33" s="2">
        <v>0</v>
      </c>
      <c r="J33" s="2" t="s">
        <v>18</v>
      </c>
      <c r="K33" s="2" t="s">
        <v>18</v>
      </c>
      <c r="L33" s="2" t="s">
        <v>11</v>
      </c>
      <c r="M33" s="2" t="s">
        <v>92</v>
      </c>
      <c r="N33" s="2" t="s">
        <v>121</v>
      </c>
      <c r="O33" s="2" t="s">
        <v>413</v>
      </c>
      <c r="P33" t="s">
        <v>125</v>
      </c>
      <c r="Q33" t="s">
        <v>126</v>
      </c>
      <c r="R33" t="s">
        <v>127</v>
      </c>
    </row>
    <row r="34" spans="1:18">
      <c r="A34" s="2" t="s">
        <v>450</v>
      </c>
      <c r="B34" s="2" t="s">
        <v>451</v>
      </c>
      <c r="C34" s="2" t="s">
        <v>452</v>
      </c>
      <c r="D34" s="2" t="s">
        <v>71</v>
      </c>
      <c r="E34" s="2" t="s">
        <v>32</v>
      </c>
      <c r="F34" s="2" t="s">
        <v>219</v>
      </c>
      <c r="G34" s="2" t="s">
        <v>355</v>
      </c>
      <c r="H34" s="2" t="s">
        <v>132</v>
      </c>
      <c r="I34" s="2">
        <v>0.9</v>
      </c>
      <c r="J34" s="2" t="s">
        <v>7</v>
      </c>
      <c r="K34" s="2" t="s">
        <v>75</v>
      </c>
      <c r="L34" s="2" t="s">
        <v>8</v>
      </c>
      <c r="M34" s="2" t="s">
        <v>77</v>
      </c>
      <c r="N34" s="2" t="s">
        <v>243</v>
      </c>
      <c r="O34" s="2" t="s">
        <v>453</v>
      </c>
      <c r="P34" t="s">
        <v>125</v>
      </c>
      <c r="Q34" t="s">
        <v>244</v>
      </c>
      <c r="R34" t="s">
        <v>245</v>
      </c>
    </row>
    <row r="35" spans="1:18" ht="28.5">
      <c r="A35" s="2" t="s">
        <v>455</v>
      </c>
      <c r="B35" s="2" t="s">
        <v>456</v>
      </c>
      <c r="C35" s="2" t="s">
        <v>457</v>
      </c>
      <c r="D35" s="2" t="s">
        <v>71</v>
      </c>
      <c r="E35" s="2" t="s">
        <v>33</v>
      </c>
      <c r="F35" s="2" t="s">
        <v>220</v>
      </c>
      <c r="G35" s="2" t="s">
        <v>334</v>
      </c>
      <c r="H35" s="2" t="s">
        <v>458</v>
      </c>
      <c r="I35" s="2">
        <v>4</v>
      </c>
      <c r="J35" s="2" t="s">
        <v>10</v>
      </c>
      <c r="K35" s="2" t="s">
        <v>336</v>
      </c>
      <c r="L35" s="2" t="s">
        <v>8</v>
      </c>
      <c r="M35" s="2" t="s">
        <v>77</v>
      </c>
      <c r="N35" s="2" t="s">
        <v>328</v>
      </c>
      <c r="O35" s="2" t="s">
        <v>459</v>
      </c>
      <c r="P35" t="s">
        <v>341</v>
      </c>
      <c r="Q35" t="s">
        <v>342</v>
      </c>
      <c r="R35" t="s">
        <v>343</v>
      </c>
    </row>
    <row r="36" spans="1:18" ht="29.25">
      <c r="A36" s="2" t="s">
        <v>473</v>
      </c>
      <c r="B36" s="2" t="s">
        <v>474</v>
      </c>
      <c r="C36" s="2" t="s">
        <v>475</v>
      </c>
      <c r="D36" s="2" t="s">
        <v>71</v>
      </c>
      <c r="E36" s="2" t="s">
        <v>32</v>
      </c>
      <c r="F36" s="2" t="s">
        <v>149</v>
      </c>
      <c r="G36" s="2" t="s">
        <v>18</v>
      </c>
      <c r="H36" s="2" t="s">
        <v>74</v>
      </c>
      <c r="I36" s="2">
        <v>0.05</v>
      </c>
      <c r="J36" s="2" t="s">
        <v>10</v>
      </c>
      <c r="K36" s="2" t="s">
        <v>75</v>
      </c>
      <c r="L36" s="2" t="s">
        <v>11</v>
      </c>
      <c r="M36" s="2" t="s">
        <v>92</v>
      </c>
      <c r="N36" s="2" t="s">
        <v>121</v>
      </c>
      <c r="O36" s="2" t="s">
        <v>476</v>
      </c>
      <c r="P36" t="s">
        <v>125</v>
      </c>
      <c r="Q36" t="s">
        <v>258</v>
      </c>
      <c r="R36" t="s">
        <v>259</v>
      </c>
    </row>
    <row r="37" spans="1:18" ht="43.5">
      <c r="A37" s="2" t="s">
        <v>477</v>
      </c>
      <c r="B37" s="2" t="s">
        <v>478</v>
      </c>
      <c r="C37" s="2" t="s">
        <v>479</v>
      </c>
      <c r="D37" s="2" t="s">
        <v>71</v>
      </c>
      <c r="E37" s="2" t="s">
        <v>32</v>
      </c>
      <c r="F37" s="2" t="s">
        <v>141</v>
      </c>
      <c r="G37" s="2" t="s">
        <v>18</v>
      </c>
      <c r="H37" s="2" t="s">
        <v>480</v>
      </c>
      <c r="I37" s="2">
        <v>30</v>
      </c>
      <c r="J37" s="2" t="s">
        <v>10</v>
      </c>
      <c r="K37" s="2" t="s">
        <v>75</v>
      </c>
      <c r="L37" s="2" t="s">
        <v>11</v>
      </c>
      <c r="M37" s="2" t="s">
        <v>92</v>
      </c>
      <c r="N37" s="2" t="s">
        <v>481</v>
      </c>
      <c r="O37" s="2" t="s">
        <v>144</v>
      </c>
      <c r="P37" t="s">
        <v>125</v>
      </c>
      <c r="Q37" t="s">
        <v>258</v>
      </c>
      <c r="R37" t="s">
        <v>259</v>
      </c>
    </row>
    <row r="38" spans="1:18" ht="43.5">
      <c r="A38" s="2" t="s">
        <v>483</v>
      </c>
      <c r="B38" s="2" t="s">
        <v>484</v>
      </c>
      <c r="C38" s="2" t="s">
        <v>485</v>
      </c>
      <c r="D38" s="2" t="s">
        <v>71</v>
      </c>
      <c r="E38" s="2" t="s">
        <v>32</v>
      </c>
      <c r="F38" s="2" t="s">
        <v>133</v>
      </c>
      <c r="G38" s="2" t="s">
        <v>18</v>
      </c>
      <c r="H38" s="2" t="s">
        <v>480</v>
      </c>
      <c r="I38" s="2">
        <v>6</v>
      </c>
      <c r="J38" s="2" t="s">
        <v>10</v>
      </c>
      <c r="K38" s="2" t="s">
        <v>75</v>
      </c>
      <c r="L38" s="2" t="s">
        <v>11</v>
      </c>
      <c r="M38" s="2" t="s">
        <v>92</v>
      </c>
      <c r="N38" s="2" t="s">
        <v>481</v>
      </c>
      <c r="O38" s="2" t="s">
        <v>134</v>
      </c>
      <c r="P38" t="s">
        <v>125</v>
      </c>
      <c r="Q38" t="s">
        <v>258</v>
      </c>
      <c r="R38" t="s">
        <v>259</v>
      </c>
    </row>
    <row r="39" spans="1:18" ht="28.5">
      <c r="A39" s="2" t="s">
        <v>486</v>
      </c>
      <c r="B39" s="2" t="s">
        <v>487</v>
      </c>
      <c r="C39" s="2" t="s">
        <v>488</v>
      </c>
      <c r="D39" s="2" t="s">
        <v>71</v>
      </c>
      <c r="E39" s="2" t="s">
        <v>32</v>
      </c>
      <c r="F39" s="2" t="s">
        <v>254</v>
      </c>
      <c r="G39" s="2" t="s">
        <v>312</v>
      </c>
      <c r="H39" s="2" t="s">
        <v>489</v>
      </c>
      <c r="I39" s="2">
        <v>1</v>
      </c>
      <c r="J39" s="2" t="s">
        <v>10</v>
      </c>
      <c r="K39" s="2" t="s">
        <v>336</v>
      </c>
      <c r="L39" s="2" t="s">
        <v>8</v>
      </c>
      <c r="M39" s="2" t="s">
        <v>77</v>
      </c>
      <c r="N39" s="2" t="s">
        <v>328</v>
      </c>
      <c r="O39" s="2" t="s">
        <v>256</v>
      </c>
      <c r="P39" t="s">
        <v>341</v>
      </c>
      <c r="Q39" t="s">
        <v>342</v>
      </c>
      <c r="R39" t="s">
        <v>343</v>
      </c>
    </row>
    <row r="40" spans="1:18" ht="28.5">
      <c r="A40" s="2" t="s">
        <v>490</v>
      </c>
      <c r="B40" s="2" t="s">
        <v>491</v>
      </c>
      <c r="C40" s="2" t="s">
        <v>492</v>
      </c>
      <c r="D40" s="2" t="s">
        <v>71</v>
      </c>
      <c r="E40" s="2" t="s">
        <v>32</v>
      </c>
      <c r="F40" s="2" t="s">
        <v>249</v>
      </c>
      <c r="G40" s="2" t="s">
        <v>312</v>
      </c>
      <c r="H40" s="2" t="s">
        <v>493</v>
      </c>
      <c r="I40" s="2">
        <v>1</v>
      </c>
      <c r="J40" s="2" t="s">
        <v>10</v>
      </c>
      <c r="K40" s="2" t="s">
        <v>336</v>
      </c>
      <c r="L40" s="2" t="s">
        <v>8</v>
      </c>
      <c r="M40" s="2" t="s">
        <v>77</v>
      </c>
      <c r="N40" s="2" t="s">
        <v>107</v>
      </c>
      <c r="O40" s="2" t="s">
        <v>292</v>
      </c>
      <c r="P40" t="s">
        <v>341</v>
      </c>
      <c r="Q40" t="s">
        <v>342</v>
      </c>
      <c r="R40" t="s">
        <v>343</v>
      </c>
    </row>
    <row r="41" spans="1:18" ht="28.5">
      <c r="A41" s="2" t="s">
        <v>511</v>
      </c>
      <c r="B41" s="2" t="s">
        <v>223</v>
      </c>
      <c r="C41" s="2" t="s">
        <v>512</v>
      </c>
      <c r="D41" s="2" t="s">
        <v>90</v>
      </c>
      <c r="E41" s="2" t="s">
        <v>27</v>
      </c>
      <c r="F41" s="2" t="s">
        <v>219</v>
      </c>
      <c r="G41" s="2" t="s">
        <v>513</v>
      </c>
      <c r="H41" s="2" t="s">
        <v>514</v>
      </c>
      <c r="I41" s="2">
        <v>1</v>
      </c>
      <c r="J41" s="2" t="s">
        <v>13</v>
      </c>
      <c r="K41" s="2" t="s">
        <v>513</v>
      </c>
      <c r="L41" s="2" t="s">
        <v>14</v>
      </c>
      <c r="M41" s="2" t="s">
        <v>92</v>
      </c>
      <c r="N41" s="2" t="s">
        <v>93</v>
      </c>
      <c r="O41" s="2" t="s">
        <v>517</v>
      </c>
      <c r="P41" t="s">
        <v>97</v>
      </c>
      <c r="Q41" t="s">
        <v>98</v>
      </c>
      <c r="R41" t="s">
        <v>99</v>
      </c>
    </row>
    <row r="42" spans="1:18" ht="29.25">
      <c r="A42" s="2" t="s">
        <v>519</v>
      </c>
      <c r="B42" s="2" t="s">
        <v>520</v>
      </c>
      <c r="C42" s="2" t="s">
        <v>521</v>
      </c>
      <c r="D42" s="2" t="s">
        <v>522</v>
      </c>
      <c r="E42" s="2" t="s">
        <v>27</v>
      </c>
      <c r="F42" s="2" t="s">
        <v>219</v>
      </c>
      <c r="G42" s="2" t="s">
        <v>513</v>
      </c>
      <c r="H42" s="2" t="s">
        <v>514</v>
      </c>
      <c r="I42" s="2"/>
      <c r="J42" s="2" t="s">
        <v>13</v>
      </c>
      <c r="K42" s="2" t="s">
        <v>513</v>
      </c>
      <c r="L42" s="2" t="s">
        <v>11</v>
      </c>
      <c r="M42" s="2" t="s">
        <v>92</v>
      </c>
      <c r="N42" s="2" t="s">
        <v>523</v>
      </c>
      <c r="O42" s="2" t="s">
        <v>94</v>
      </c>
      <c r="P42" t="s">
        <v>341</v>
      </c>
      <c r="Q42" t="s">
        <v>524</v>
      </c>
      <c r="R42" t="s">
        <v>525</v>
      </c>
    </row>
    <row r="43" spans="1:18" ht="29.25">
      <c r="A43" s="2" t="s">
        <v>526</v>
      </c>
      <c r="B43" s="2" t="s">
        <v>527</v>
      </c>
      <c r="C43" s="2" t="s">
        <v>528</v>
      </c>
      <c r="D43" s="2" t="s">
        <v>522</v>
      </c>
      <c r="E43" s="2" t="s">
        <v>27</v>
      </c>
      <c r="F43" s="2" t="s">
        <v>219</v>
      </c>
      <c r="G43" s="2" t="s">
        <v>513</v>
      </c>
      <c r="H43" s="2" t="s">
        <v>132</v>
      </c>
      <c r="I43" s="2"/>
      <c r="J43" s="2" t="s">
        <v>13</v>
      </c>
      <c r="K43" s="2" t="s">
        <v>513</v>
      </c>
      <c r="L43" s="2" t="s">
        <v>11</v>
      </c>
      <c r="M43" s="2" t="s">
        <v>92</v>
      </c>
      <c r="N43" s="2" t="s">
        <v>523</v>
      </c>
      <c r="O43" s="2" t="s">
        <v>94</v>
      </c>
      <c r="P43" t="s">
        <v>341</v>
      </c>
      <c r="Q43" t="s">
        <v>524</v>
      </c>
      <c r="R43" t="s">
        <v>525</v>
      </c>
    </row>
    <row r="44" spans="1:18" ht="29.25">
      <c r="A44" s="2" t="s">
        <v>529</v>
      </c>
      <c r="B44" s="2" t="s">
        <v>530</v>
      </c>
      <c r="C44" s="2" t="s">
        <v>531</v>
      </c>
      <c r="D44" s="2" t="s">
        <v>522</v>
      </c>
      <c r="E44" s="2" t="s">
        <v>27</v>
      </c>
      <c r="F44" s="2" t="s">
        <v>219</v>
      </c>
      <c r="G44" s="2" t="s">
        <v>513</v>
      </c>
      <c r="H44" s="2" t="s">
        <v>514</v>
      </c>
      <c r="I44" s="2"/>
      <c r="J44" s="2" t="s">
        <v>13</v>
      </c>
      <c r="K44" s="2" t="s">
        <v>513</v>
      </c>
      <c r="L44" s="2" t="s">
        <v>11</v>
      </c>
      <c r="M44" s="2" t="s">
        <v>92</v>
      </c>
      <c r="N44" s="2" t="s">
        <v>523</v>
      </c>
      <c r="O44" s="2" t="s">
        <v>94</v>
      </c>
      <c r="P44" t="s">
        <v>341</v>
      </c>
      <c r="Q44" t="s">
        <v>524</v>
      </c>
      <c r="R44" t="s">
        <v>525</v>
      </c>
    </row>
    <row r="45" spans="1:18" ht="29.25">
      <c r="A45" s="2" t="s">
        <v>532</v>
      </c>
      <c r="B45" s="2" t="s">
        <v>533</v>
      </c>
      <c r="C45" s="2" t="s">
        <v>534</v>
      </c>
      <c r="D45" s="2" t="s">
        <v>522</v>
      </c>
      <c r="E45" s="2" t="s">
        <v>27</v>
      </c>
      <c r="F45" s="2" t="s">
        <v>219</v>
      </c>
      <c r="G45" s="2" t="s">
        <v>513</v>
      </c>
      <c r="H45" s="2" t="s">
        <v>514</v>
      </c>
      <c r="I45" s="2"/>
      <c r="J45" s="2" t="s">
        <v>13</v>
      </c>
      <c r="K45" s="2" t="s">
        <v>513</v>
      </c>
      <c r="L45" s="2" t="s">
        <v>11</v>
      </c>
      <c r="M45" s="2" t="s">
        <v>92</v>
      </c>
      <c r="N45" s="2" t="s">
        <v>523</v>
      </c>
      <c r="O45" s="2" t="s">
        <v>94</v>
      </c>
      <c r="P45" t="s">
        <v>341</v>
      </c>
      <c r="Q45" t="s">
        <v>524</v>
      </c>
      <c r="R45" t="s">
        <v>525</v>
      </c>
    </row>
    <row r="46" spans="1:18" ht="29.25">
      <c r="A46" s="2" t="s">
        <v>535</v>
      </c>
      <c r="B46" s="2" t="s">
        <v>536</v>
      </c>
      <c r="C46" s="2" t="s">
        <v>537</v>
      </c>
      <c r="D46" s="2" t="s">
        <v>522</v>
      </c>
      <c r="E46" s="2" t="s">
        <v>27</v>
      </c>
      <c r="F46" s="2" t="s">
        <v>219</v>
      </c>
      <c r="G46" s="2" t="s">
        <v>513</v>
      </c>
      <c r="H46" s="2" t="s">
        <v>514</v>
      </c>
      <c r="I46" s="2"/>
      <c r="J46" s="2" t="s">
        <v>13</v>
      </c>
      <c r="K46" s="2" t="s">
        <v>513</v>
      </c>
      <c r="L46" s="2" t="s">
        <v>11</v>
      </c>
      <c r="M46" s="2" t="s">
        <v>92</v>
      </c>
      <c r="N46" s="2" t="s">
        <v>523</v>
      </c>
      <c r="O46" s="2" t="s">
        <v>94</v>
      </c>
      <c r="P46" t="s">
        <v>341</v>
      </c>
      <c r="Q46" t="s">
        <v>524</v>
      </c>
      <c r="R46" t="s">
        <v>525</v>
      </c>
    </row>
    <row r="47" spans="1:18" ht="29.25">
      <c r="A47" s="2" t="s">
        <v>538</v>
      </c>
      <c r="B47" s="2" t="s">
        <v>539</v>
      </c>
      <c r="C47" s="2" t="s">
        <v>540</v>
      </c>
      <c r="D47" s="2" t="s">
        <v>522</v>
      </c>
      <c r="E47" s="2" t="s">
        <v>27</v>
      </c>
      <c r="F47" s="2" t="s">
        <v>219</v>
      </c>
      <c r="G47" s="2" t="s">
        <v>513</v>
      </c>
      <c r="H47" s="2" t="s">
        <v>514</v>
      </c>
      <c r="I47" s="2"/>
      <c r="J47" s="2" t="s">
        <v>13</v>
      </c>
      <c r="K47" s="2" t="s">
        <v>513</v>
      </c>
      <c r="L47" s="2" t="s">
        <v>11</v>
      </c>
      <c r="M47" s="2" t="s">
        <v>92</v>
      </c>
      <c r="N47" s="2" t="s">
        <v>523</v>
      </c>
      <c r="O47" s="2" t="s">
        <v>94</v>
      </c>
      <c r="P47" t="s">
        <v>341</v>
      </c>
      <c r="Q47" t="s">
        <v>524</v>
      </c>
      <c r="R47" t="s">
        <v>525</v>
      </c>
    </row>
    <row r="48" spans="1:18" ht="29.25">
      <c r="A48" s="2" t="s">
        <v>541</v>
      </c>
      <c r="B48" s="2" t="s">
        <v>542</v>
      </c>
      <c r="C48" s="2" t="s">
        <v>543</v>
      </c>
      <c r="D48" s="2" t="s">
        <v>522</v>
      </c>
      <c r="E48" s="2" t="s">
        <v>27</v>
      </c>
      <c r="F48" s="2" t="s">
        <v>31</v>
      </c>
      <c r="G48" s="2" t="s">
        <v>513</v>
      </c>
      <c r="H48" s="2" t="s">
        <v>132</v>
      </c>
      <c r="I48" s="2"/>
      <c r="J48" s="2" t="s">
        <v>13</v>
      </c>
      <c r="K48" s="2" t="s">
        <v>513</v>
      </c>
      <c r="L48" s="2" t="s">
        <v>11</v>
      </c>
      <c r="M48" s="2" t="s">
        <v>92</v>
      </c>
      <c r="N48" s="2" t="s">
        <v>523</v>
      </c>
      <c r="O48" s="2" t="s">
        <v>94</v>
      </c>
      <c r="P48" t="s">
        <v>341</v>
      </c>
      <c r="Q48" t="s">
        <v>524</v>
      </c>
      <c r="R48" t="s">
        <v>525</v>
      </c>
    </row>
    <row r="49" spans="1:18" ht="29.25">
      <c r="A49" s="2" t="s">
        <v>544</v>
      </c>
      <c r="B49" s="2" t="s">
        <v>545</v>
      </c>
      <c r="C49" s="2" t="s">
        <v>546</v>
      </c>
      <c r="D49" s="2" t="s">
        <v>522</v>
      </c>
      <c r="E49" s="2" t="s">
        <v>27</v>
      </c>
      <c r="F49" s="2" t="s">
        <v>219</v>
      </c>
      <c r="G49" s="2" t="s">
        <v>513</v>
      </c>
      <c r="H49" s="2" t="s">
        <v>514</v>
      </c>
      <c r="I49" s="2"/>
      <c r="J49" s="2" t="s">
        <v>13</v>
      </c>
      <c r="K49" s="2" t="s">
        <v>513</v>
      </c>
      <c r="L49" s="2" t="s">
        <v>11</v>
      </c>
      <c r="M49" s="2" t="s">
        <v>92</v>
      </c>
      <c r="N49" s="2" t="s">
        <v>523</v>
      </c>
      <c r="O49" s="2" t="s">
        <v>94</v>
      </c>
      <c r="P49" t="s">
        <v>341</v>
      </c>
      <c r="Q49" t="s">
        <v>524</v>
      </c>
      <c r="R49" t="s">
        <v>525</v>
      </c>
    </row>
    <row r="50" spans="1:18" ht="29.25">
      <c r="A50" s="2" t="s">
        <v>547</v>
      </c>
      <c r="B50" s="2" t="s">
        <v>548</v>
      </c>
      <c r="C50" s="2" t="s">
        <v>549</v>
      </c>
      <c r="D50" s="2" t="s">
        <v>522</v>
      </c>
      <c r="E50" s="2" t="s">
        <v>27</v>
      </c>
      <c r="F50" s="2" t="s">
        <v>219</v>
      </c>
      <c r="G50" s="2" t="s">
        <v>513</v>
      </c>
      <c r="H50" s="2" t="s">
        <v>514</v>
      </c>
      <c r="I50" s="2"/>
      <c r="J50" s="2" t="s">
        <v>13</v>
      </c>
      <c r="K50" s="2" t="s">
        <v>513</v>
      </c>
      <c r="L50" s="2" t="s">
        <v>11</v>
      </c>
      <c r="M50" s="2" t="s">
        <v>92</v>
      </c>
      <c r="N50" s="2" t="s">
        <v>523</v>
      </c>
      <c r="O50" s="2" t="s">
        <v>94</v>
      </c>
      <c r="P50" t="s">
        <v>341</v>
      </c>
      <c r="Q50" t="s">
        <v>524</v>
      </c>
      <c r="R50" t="s">
        <v>525</v>
      </c>
    </row>
    <row r="51" spans="1:18" ht="29.25">
      <c r="A51" s="2" t="s">
        <v>550</v>
      </c>
      <c r="B51" s="2" t="s">
        <v>551</v>
      </c>
      <c r="C51" s="2" t="s">
        <v>552</v>
      </c>
      <c r="D51" s="2" t="s">
        <v>522</v>
      </c>
      <c r="E51" s="2" t="s">
        <v>27</v>
      </c>
      <c r="F51" s="2" t="s">
        <v>219</v>
      </c>
      <c r="G51" s="2" t="s">
        <v>513</v>
      </c>
      <c r="H51" s="2" t="s">
        <v>514</v>
      </c>
      <c r="I51" s="2"/>
      <c r="J51" s="2" t="s">
        <v>13</v>
      </c>
      <c r="K51" s="2" t="s">
        <v>513</v>
      </c>
      <c r="L51" s="2" t="s">
        <v>11</v>
      </c>
      <c r="M51" s="2" t="s">
        <v>92</v>
      </c>
      <c r="N51" s="2" t="s">
        <v>523</v>
      </c>
      <c r="O51" s="2" t="s">
        <v>94</v>
      </c>
      <c r="P51" t="s">
        <v>341</v>
      </c>
      <c r="Q51" t="s">
        <v>524</v>
      </c>
      <c r="R51" t="s">
        <v>525</v>
      </c>
    </row>
    <row r="52" spans="1:18" ht="29.25">
      <c r="A52" s="2" t="s">
        <v>553</v>
      </c>
      <c r="B52" s="2" t="s">
        <v>554</v>
      </c>
      <c r="C52" s="2" t="s">
        <v>555</v>
      </c>
      <c r="D52" s="2" t="s">
        <v>522</v>
      </c>
      <c r="E52" s="2" t="s">
        <v>27</v>
      </c>
      <c r="F52" s="2" t="s">
        <v>219</v>
      </c>
      <c r="G52" s="2" t="s">
        <v>513</v>
      </c>
      <c r="H52" s="2" t="s">
        <v>514</v>
      </c>
      <c r="I52" s="2"/>
      <c r="J52" s="2" t="s">
        <v>13</v>
      </c>
      <c r="K52" s="2" t="s">
        <v>513</v>
      </c>
      <c r="L52" s="2" t="s">
        <v>11</v>
      </c>
      <c r="M52" s="2" t="s">
        <v>92</v>
      </c>
      <c r="N52" s="2" t="s">
        <v>523</v>
      </c>
      <c r="O52" s="2" t="s">
        <v>94</v>
      </c>
      <c r="P52" t="s">
        <v>341</v>
      </c>
      <c r="Q52" t="s">
        <v>524</v>
      </c>
      <c r="R52" t="s">
        <v>525</v>
      </c>
    </row>
  </sheetData>
  <conditionalFormatting sqref="L2:L52">
    <cfRule type="expression" dxfId="9" priority="1">
      <formula>L2="BLOCKED"</formula>
    </cfRule>
  </conditionalFormatting>
  <conditionalFormatting sqref="M2:M52">
    <cfRule type="expression" dxfId="8" priority="2">
      <formula>M2="LOW"</formula>
    </cfRule>
  </conditionalFormatting>
  <conditionalFormatting sqref="P2:P52">
    <cfRule type="expression" dxfId="7" priority="3">
      <formula>LEFT(P2,2)="P0"</formula>
    </cfRule>
    <cfRule type="expression" dxfId="6" priority="4">
      <formula>LEFT(P2,2)="P1"</formula>
    </cfRule>
    <cfRule type="expression" dxfId="5" priority="5">
      <formula>LEFT(P2,2)="P2"</formula>
    </cfRule>
    <cfRule type="expression" dxfId="4" priority="6">
      <formula>LEFT(P2,2)="P3"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8"/>
  <sheetViews>
    <sheetView tabSelected="1" workbookViewId="0"/>
  </sheetViews>
  <sheetFormatPr baseColWidth="10" defaultColWidth="9" defaultRowHeight="14.25"/>
  <cols>
    <col min="1" max="1" width="12" customWidth="1"/>
    <col min="2" max="2" width="22" customWidth="1"/>
    <col min="3" max="3" width="10" customWidth="1"/>
    <col min="4" max="5" width="24" customWidth="1"/>
    <col min="6" max="6" width="52" customWidth="1"/>
    <col min="7" max="7" width="20" customWidth="1"/>
    <col min="8" max="9" width="14" customWidth="1"/>
    <col min="10" max="10" width="12" customWidth="1"/>
  </cols>
  <sheetData>
    <row r="1" spans="1:10" ht="30">
      <c r="A1" s="1" t="s">
        <v>38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</row>
    <row r="2" spans="1:10">
      <c r="A2" s="2" t="s">
        <v>153</v>
      </c>
      <c r="B2" s="2" t="s">
        <v>108</v>
      </c>
      <c r="C2" s="2">
        <v>6</v>
      </c>
      <c r="D2" s="2" t="s">
        <v>108</v>
      </c>
      <c r="E2" s="2"/>
      <c r="F2" s="2" t="s">
        <v>565</v>
      </c>
      <c r="G2" s="2">
        <v>0</v>
      </c>
      <c r="H2" s="6">
        <v>15</v>
      </c>
      <c r="I2" s="6">
        <v>1</v>
      </c>
      <c r="J2" s="6">
        <v>0.3</v>
      </c>
    </row>
    <row r="3" spans="1:10" ht="28.5">
      <c r="A3" s="2" t="s">
        <v>169</v>
      </c>
      <c r="B3" s="2" t="s">
        <v>108</v>
      </c>
      <c r="C3" s="2">
        <v>8</v>
      </c>
      <c r="D3" s="2" t="s">
        <v>108</v>
      </c>
      <c r="E3" s="2"/>
      <c r="F3" s="2" t="s">
        <v>566</v>
      </c>
      <c r="G3" s="2" t="s">
        <v>82</v>
      </c>
      <c r="H3" s="6">
        <v>0.2</v>
      </c>
      <c r="I3" s="6">
        <v>0.45</v>
      </c>
      <c r="J3" s="6">
        <v>0.05</v>
      </c>
    </row>
    <row r="4" spans="1:10" ht="28.5">
      <c r="A4" s="2" t="s">
        <v>161</v>
      </c>
      <c r="B4" s="2" t="s">
        <v>108</v>
      </c>
      <c r="C4" s="2">
        <v>9</v>
      </c>
      <c r="D4" s="2" t="s">
        <v>108</v>
      </c>
      <c r="E4" s="2"/>
      <c r="F4" s="2" t="s">
        <v>567</v>
      </c>
      <c r="G4" s="2" t="s">
        <v>95</v>
      </c>
      <c r="H4" s="6">
        <v>16000</v>
      </c>
      <c r="I4" s="6">
        <v>0</v>
      </c>
      <c r="J4" s="6">
        <v>0.05</v>
      </c>
    </row>
    <row r="5" spans="1:10" ht="28.5">
      <c r="A5" s="2" t="s">
        <v>157</v>
      </c>
      <c r="B5" s="2" t="s">
        <v>108</v>
      </c>
      <c r="C5" s="2">
        <v>10</v>
      </c>
      <c r="D5" s="2" t="s">
        <v>108</v>
      </c>
      <c r="E5" s="2"/>
      <c r="F5" s="2" t="s">
        <v>568</v>
      </c>
      <c r="G5" s="2" t="s">
        <v>95</v>
      </c>
      <c r="H5" s="6">
        <v>40000</v>
      </c>
      <c r="I5" s="6">
        <v>1800</v>
      </c>
      <c r="J5" s="6">
        <v>0.05</v>
      </c>
    </row>
    <row r="6" spans="1:10" ht="28.5">
      <c r="A6" s="2" t="s">
        <v>293</v>
      </c>
      <c r="B6" s="2" t="s">
        <v>108</v>
      </c>
      <c r="C6" s="2">
        <v>11</v>
      </c>
      <c r="D6" s="2" t="s">
        <v>108</v>
      </c>
      <c r="E6" s="2"/>
      <c r="F6" s="2" t="s">
        <v>569</v>
      </c>
      <c r="G6" s="2" t="s">
        <v>74</v>
      </c>
      <c r="H6" s="6">
        <v>0.1</v>
      </c>
      <c r="I6" s="6">
        <v>0</v>
      </c>
      <c r="J6" s="6">
        <v>0.05</v>
      </c>
    </row>
    <row r="7" spans="1:10" ht="28.5">
      <c r="A7" s="2" t="s">
        <v>296</v>
      </c>
      <c r="B7" s="2" t="s">
        <v>108</v>
      </c>
      <c r="C7" s="2">
        <v>12</v>
      </c>
      <c r="D7" s="2" t="s">
        <v>108</v>
      </c>
      <c r="E7" s="2"/>
      <c r="F7" s="2" t="s">
        <v>570</v>
      </c>
      <c r="G7" s="2" t="s">
        <v>222</v>
      </c>
      <c r="H7" s="6">
        <v>0.2</v>
      </c>
      <c r="I7" s="6">
        <v>0</v>
      </c>
      <c r="J7" s="6">
        <v>0.05</v>
      </c>
    </row>
    <row r="8" spans="1:10">
      <c r="A8" s="2" t="s">
        <v>101</v>
      </c>
      <c r="B8" s="2" t="s">
        <v>108</v>
      </c>
      <c r="C8" s="2">
        <v>13</v>
      </c>
      <c r="D8" s="2" t="s">
        <v>108</v>
      </c>
      <c r="E8" s="2"/>
      <c r="F8" s="2" t="s">
        <v>571</v>
      </c>
      <c r="G8" s="2" t="s">
        <v>110</v>
      </c>
      <c r="H8" s="6">
        <v>10</v>
      </c>
      <c r="I8" s="6">
        <v>19</v>
      </c>
      <c r="J8" s="6">
        <v>0.25</v>
      </c>
    </row>
    <row r="9" spans="1:10">
      <c r="A9" s="2" t="s">
        <v>101</v>
      </c>
      <c r="B9" s="2" t="s">
        <v>168</v>
      </c>
      <c r="C9" s="2">
        <v>8</v>
      </c>
      <c r="D9" s="2" t="s">
        <v>108</v>
      </c>
      <c r="E9" s="2" t="s">
        <v>168</v>
      </c>
      <c r="F9" s="2" t="s">
        <v>571</v>
      </c>
      <c r="G9" s="2" t="s">
        <v>110</v>
      </c>
      <c r="H9" s="6">
        <v>10</v>
      </c>
      <c r="I9" s="6">
        <v>19</v>
      </c>
      <c r="J9" s="6">
        <v>0.1</v>
      </c>
    </row>
    <row r="10" spans="1:10" ht="28.5">
      <c r="A10" s="2" t="s">
        <v>302</v>
      </c>
      <c r="B10" s="2" t="s">
        <v>108</v>
      </c>
      <c r="C10" s="2">
        <v>14</v>
      </c>
      <c r="D10" s="2" t="s">
        <v>108</v>
      </c>
      <c r="E10" s="2"/>
      <c r="F10" s="2" t="s">
        <v>572</v>
      </c>
      <c r="G10" s="2" t="s">
        <v>222</v>
      </c>
      <c r="H10" s="6">
        <v>0.2</v>
      </c>
      <c r="I10" s="6">
        <v>0</v>
      </c>
      <c r="J10" s="6">
        <v>0.05</v>
      </c>
    </row>
    <row r="11" spans="1:10" ht="28.5">
      <c r="A11" s="2" t="s">
        <v>299</v>
      </c>
      <c r="B11" s="2" t="s">
        <v>108</v>
      </c>
      <c r="C11" s="2">
        <v>15</v>
      </c>
      <c r="D11" s="2" t="s">
        <v>108</v>
      </c>
      <c r="E11" s="2"/>
      <c r="F11" s="2" t="s">
        <v>573</v>
      </c>
      <c r="G11" s="2" t="s">
        <v>222</v>
      </c>
      <c r="H11" s="6">
        <v>0.2</v>
      </c>
      <c r="I11" s="6">
        <v>0</v>
      </c>
      <c r="J11" s="6">
        <v>0.05</v>
      </c>
    </row>
    <row r="12" spans="1:10">
      <c r="A12" s="2" t="s">
        <v>363</v>
      </c>
      <c r="B12" s="2" t="s">
        <v>507</v>
      </c>
      <c r="C12" s="2">
        <v>7</v>
      </c>
      <c r="D12" s="2" t="s">
        <v>149</v>
      </c>
      <c r="E12" s="2" t="s">
        <v>574</v>
      </c>
      <c r="F12" s="2" t="s">
        <v>575</v>
      </c>
      <c r="G12" s="2">
        <v>0</v>
      </c>
      <c r="H12" s="6">
        <v>0.1</v>
      </c>
      <c r="I12" s="6">
        <v>0.1</v>
      </c>
      <c r="J12" s="6">
        <v>0.03</v>
      </c>
    </row>
    <row r="13" spans="1:10">
      <c r="A13" s="2" t="s">
        <v>363</v>
      </c>
      <c r="B13" s="2" t="s">
        <v>576</v>
      </c>
      <c r="C13" s="2">
        <v>7</v>
      </c>
      <c r="D13" s="2" t="s">
        <v>577</v>
      </c>
      <c r="E13" s="2" t="s">
        <v>578</v>
      </c>
      <c r="F13" s="2" t="s">
        <v>575</v>
      </c>
      <c r="G13" s="2">
        <v>0</v>
      </c>
      <c r="H13" s="6">
        <v>0.1</v>
      </c>
      <c r="I13" s="6">
        <v>0.1</v>
      </c>
      <c r="J13" s="6">
        <v>0.15</v>
      </c>
    </row>
    <row r="14" spans="1:10">
      <c r="A14" s="2" t="s">
        <v>363</v>
      </c>
      <c r="B14" s="2" t="s">
        <v>81</v>
      </c>
      <c r="C14" s="2">
        <v>5</v>
      </c>
      <c r="D14" s="2"/>
      <c r="E14" s="2"/>
      <c r="F14" s="2" t="s">
        <v>575</v>
      </c>
      <c r="G14" s="2"/>
      <c r="H14" s="6">
        <v>0.1</v>
      </c>
      <c r="I14" s="6">
        <v>0.1</v>
      </c>
      <c r="J14" s="6">
        <v>0.1</v>
      </c>
    </row>
    <row r="15" spans="1:10">
      <c r="A15" s="2" t="s">
        <v>363</v>
      </c>
      <c r="B15" s="2" t="s">
        <v>81</v>
      </c>
      <c r="C15" s="2">
        <v>24</v>
      </c>
      <c r="D15" s="2"/>
      <c r="E15" s="2"/>
      <c r="F15" s="2" t="s">
        <v>575</v>
      </c>
      <c r="G15" s="2"/>
      <c r="H15" s="6"/>
      <c r="I15" s="6"/>
      <c r="J15" s="6">
        <v>0.1</v>
      </c>
    </row>
    <row r="16" spans="1:10">
      <c r="A16" s="2" t="s">
        <v>363</v>
      </c>
      <c r="B16" s="2" t="s">
        <v>94</v>
      </c>
      <c r="C16" s="2">
        <v>7</v>
      </c>
      <c r="D16" s="2"/>
      <c r="E16" s="2"/>
      <c r="F16" s="2" t="s">
        <v>575</v>
      </c>
      <c r="G16" s="2" t="s">
        <v>82</v>
      </c>
      <c r="H16" s="6">
        <v>0.1</v>
      </c>
      <c r="I16" s="6"/>
      <c r="J16" s="6">
        <v>0.1</v>
      </c>
    </row>
    <row r="17" spans="1:10">
      <c r="A17" s="2" t="s">
        <v>204</v>
      </c>
      <c r="B17" s="2" t="s">
        <v>507</v>
      </c>
      <c r="C17" s="2">
        <v>8</v>
      </c>
      <c r="D17" s="2" t="s">
        <v>149</v>
      </c>
      <c r="E17" s="2" t="s">
        <v>574</v>
      </c>
      <c r="F17" s="2" t="s">
        <v>579</v>
      </c>
      <c r="G17" s="2" t="s">
        <v>74</v>
      </c>
      <c r="H17" s="6">
        <v>0.1</v>
      </c>
      <c r="I17" s="6">
        <v>0.32</v>
      </c>
      <c r="J17" s="6">
        <v>0.03</v>
      </c>
    </row>
    <row r="18" spans="1:10">
      <c r="A18" s="2" t="s">
        <v>204</v>
      </c>
      <c r="B18" s="2" t="s">
        <v>413</v>
      </c>
      <c r="C18" s="2">
        <v>7</v>
      </c>
      <c r="D18" s="2" t="s">
        <v>149</v>
      </c>
      <c r="E18" s="2"/>
      <c r="F18" s="2" t="s">
        <v>579</v>
      </c>
      <c r="G18" s="2" t="s">
        <v>74</v>
      </c>
      <c r="H18" s="6">
        <v>0.1</v>
      </c>
      <c r="I18" s="6">
        <v>0.32</v>
      </c>
      <c r="J18" s="6">
        <v>0.1</v>
      </c>
    </row>
    <row r="19" spans="1:10">
      <c r="A19" s="2" t="s">
        <v>204</v>
      </c>
      <c r="B19" s="2" t="s">
        <v>580</v>
      </c>
      <c r="C19" s="2">
        <v>7</v>
      </c>
      <c r="D19" s="2" t="s">
        <v>149</v>
      </c>
      <c r="E19" s="2"/>
      <c r="F19" s="2" t="s">
        <v>579</v>
      </c>
      <c r="G19" s="2" t="s">
        <v>74</v>
      </c>
      <c r="H19" s="6">
        <v>0.1</v>
      </c>
      <c r="I19" s="6">
        <v>0.32</v>
      </c>
      <c r="J19" s="6">
        <v>0.05</v>
      </c>
    </row>
    <row r="20" spans="1:10">
      <c r="A20" s="2" t="s">
        <v>204</v>
      </c>
      <c r="B20" s="2" t="s">
        <v>581</v>
      </c>
      <c r="C20" s="2">
        <v>7</v>
      </c>
      <c r="D20" s="2" t="s">
        <v>149</v>
      </c>
      <c r="E20" s="2"/>
      <c r="F20" s="2" t="s">
        <v>579</v>
      </c>
      <c r="G20" s="2" t="s">
        <v>74</v>
      </c>
      <c r="H20" s="6">
        <v>0.1</v>
      </c>
      <c r="I20" s="6">
        <v>0.32</v>
      </c>
      <c r="J20" s="6">
        <v>0.1</v>
      </c>
    </row>
    <row r="21" spans="1:10">
      <c r="A21" s="2" t="s">
        <v>204</v>
      </c>
      <c r="B21" s="2" t="s">
        <v>582</v>
      </c>
      <c r="C21" s="2">
        <v>7</v>
      </c>
      <c r="D21" s="2" t="s">
        <v>149</v>
      </c>
      <c r="E21" s="2"/>
      <c r="F21" s="2" t="s">
        <v>579</v>
      </c>
      <c r="G21" s="2" t="s">
        <v>74</v>
      </c>
      <c r="H21" s="6">
        <v>0.1</v>
      </c>
      <c r="I21" s="6">
        <v>0.32</v>
      </c>
      <c r="J21" s="6">
        <v>0.1</v>
      </c>
    </row>
    <row r="22" spans="1:10">
      <c r="A22" s="2" t="s">
        <v>324</v>
      </c>
      <c r="B22" s="2" t="s">
        <v>507</v>
      </c>
      <c r="C22" s="2">
        <v>9</v>
      </c>
      <c r="D22" s="2" t="s">
        <v>149</v>
      </c>
      <c r="E22" s="2" t="s">
        <v>574</v>
      </c>
      <c r="F22" s="2" t="s">
        <v>583</v>
      </c>
      <c r="G22" s="2">
        <v>0</v>
      </c>
      <c r="H22" s="6">
        <v>0</v>
      </c>
      <c r="I22" s="6">
        <v>0</v>
      </c>
      <c r="J22" s="6">
        <v>0.03</v>
      </c>
    </row>
    <row r="23" spans="1:10">
      <c r="A23" s="2" t="s">
        <v>324</v>
      </c>
      <c r="B23" s="2" t="s">
        <v>413</v>
      </c>
      <c r="C23" s="2">
        <v>8</v>
      </c>
      <c r="D23" s="2" t="s">
        <v>149</v>
      </c>
      <c r="E23" s="2"/>
      <c r="F23" s="2" t="s">
        <v>583</v>
      </c>
      <c r="G23" s="2">
        <v>0</v>
      </c>
      <c r="H23" s="6">
        <v>0</v>
      </c>
      <c r="I23" s="6">
        <v>0</v>
      </c>
      <c r="J23" s="6">
        <v>0.05</v>
      </c>
    </row>
    <row r="24" spans="1:10">
      <c r="A24" s="2" t="s">
        <v>324</v>
      </c>
      <c r="B24" s="2" t="s">
        <v>582</v>
      </c>
      <c r="C24" s="2">
        <v>8</v>
      </c>
      <c r="D24" s="2" t="s">
        <v>149</v>
      </c>
      <c r="E24" s="2"/>
      <c r="F24" s="2" t="s">
        <v>583</v>
      </c>
      <c r="G24" s="2">
        <v>0</v>
      </c>
      <c r="H24" s="6">
        <v>0</v>
      </c>
      <c r="I24" s="6">
        <v>0</v>
      </c>
      <c r="J24" s="6">
        <v>0.05</v>
      </c>
    </row>
    <row r="25" spans="1:10">
      <c r="A25" s="2" t="s">
        <v>324</v>
      </c>
      <c r="B25" s="2" t="s">
        <v>119</v>
      </c>
      <c r="C25" s="2">
        <v>9</v>
      </c>
      <c r="D25" s="2" t="s">
        <v>119</v>
      </c>
      <c r="E25" s="2" t="s">
        <v>584</v>
      </c>
      <c r="F25" s="2" t="s">
        <v>583</v>
      </c>
      <c r="G25" s="2">
        <v>0</v>
      </c>
      <c r="H25" s="6">
        <v>0</v>
      </c>
      <c r="I25" s="6">
        <v>0</v>
      </c>
      <c r="J25" s="6">
        <v>0.05</v>
      </c>
    </row>
    <row r="26" spans="1:10">
      <c r="A26" s="2" t="s">
        <v>324</v>
      </c>
      <c r="B26" s="2" t="s">
        <v>585</v>
      </c>
      <c r="C26" s="2">
        <v>9</v>
      </c>
      <c r="D26" s="2" t="s">
        <v>119</v>
      </c>
      <c r="E26" s="2" t="s">
        <v>584</v>
      </c>
      <c r="F26" s="2" t="s">
        <v>583</v>
      </c>
      <c r="G26" s="2">
        <v>0</v>
      </c>
      <c r="H26" s="6">
        <v>0</v>
      </c>
      <c r="I26" s="6">
        <v>0</v>
      </c>
      <c r="J26" s="6">
        <v>0.1</v>
      </c>
    </row>
    <row r="27" spans="1:10">
      <c r="A27" s="2" t="s">
        <v>468</v>
      </c>
      <c r="B27" s="2" t="s">
        <v>507</v>
      </c>
      <c r="C27" s="2">
        <v>10</v>
      </c>
      <c r="D27" s="2" t="s">
        <v>149</v>
      </c>
      <c r="E27" s="2" t="s">
        <v>574</v>
      </c>
      <c r="F27" s="2" t="s">
        <v>586</v>
      </c>
      <c r="G27" s="2">
        <v>0</v>
      </c>
      <c r="H27" s="6">
        <v>0.05</v>
      </c>
      <c r="I27" s="6">
        <v>0</v>
      </c>
      <c r="J27" s="6">
        <v>0.03</v>
      </c>
    </row>
    <row r="28" spans="1:10">
      <c r="A28" s="2" t="s">
        <v>468</v>
      </c>
      <c r="B28" s="2" t="s">
        <v>580</v>
      </c>
      <c r="C28" s="2">
        <v>8</v>
      </c>
      <c r="D28" s="2" t="s">
        <v>149</v>
      </c>
      <c r="E28" s="2"/>
      <c r="F28" s="2" t="s">
        <v>586</v>
      </c>
      <c r="G28" s="2">
        <v>0</v>
      </c>
      <c r="H28" s="6">
        <v>0.05</v>
      </c>
      <c r="I28" s="6">
        <v>0</v>
      </c>
      <c r="J28" s="6">
        <v>0.05</v>
      </c>
    </row>
    <row r="29" spans="1:10">
      <c r="A29" s="2" t="s">
        <v>468</v>
      </c>
      <c r="B29" s="2" t="s">
        <v>581</v>
      </c>
      <c r="C29" s="2">
        <v>8</v>
      </c>
      <c r="D29" s="2" t="s">
        <v>149</v>
      </c>
      <c r="E29" s="2"/>
      <c r="F29" s="2" t="s">
        <v>586</v>
      </c>
      <c r="G29" s="2">
        <v>0</v>
      </c>
      <c r="H29" s="6">
        <v>0.05</v>
      </c>
      <c r="I29" s="6">
        <v>0</v>
      </c>
      <c r="J29" s="6">
        <v>0.2</v>
      </c>
    </row>
    <row r="30" spans="1:10">
      <c r="A30" s="2" t="s">
        <v>468</v>
      </c>
      <c r="B30" s="2" t="s">
        <v>582</v>
      </c>
      <c r="C30" s="2">
        <v>9</v>
      </c>
      <c r="D30" s="2" t="s">
        <v>149</v>
      </c>
      <c r="E30" s="2"/>
      <c r="F30" s="2" t="s">
        <v>586</v>
      </c>
      <c r="G30" s="2">
        <v>0</v>
      </c>
      <c r="H30" s="6">
        <v>0.05</v>
      </c>
      <c r="I30" s="6">
        <v>0</v>
      </c>
      <c r="J30" s="6">
        <v>0.05</v>
      </c>
    </row>
    <row r="31" spans="1:10">
      <c r="A31" s="2" t="s">
        <v>499</v>
      </c>
      <c r="B31" s="2" t="s">
        <v>507</v>
      </c>
      <c r="C31" s="2">
        <v>11</v>
      </c>
      <c r="D31" s="2" t="s">
        <v>149</v>
      </c>
      <c r="E31" s="2" t="s">
        <v>574</v>
      </c>
      <c r="F31" s="2" t="s">
        <v>587</v>
      </c>
      <c r="G31" s="2">
        <v>0</v>
      </c>
      <c r="H31" s="6">
        <v>0.1</v>
      </c>
      <c r="I31" s="6">
        <v>0</v>
      </c>
      <c r="J31" s="6">
        <v>0.03</v>
      </c>
    </row>
    <row r="32" spans="1:10">
      <c r="A32" s="2" t="s">
        <v>499</v>
      </c>
      <c r="B32" s="2" t="s">
        <v>413</v>
      </c>
      <c r="C32" s="2">
        <v>13</v>
      </c>
      <c r="D32" s="2" t="s">
        <v>149</v>
      </c>
      <c r="E32" s="2"/>
      <c r="F32" s="2" t="s">
        <v>587</v>
      </c>
      <c r="G32" s="2">
        <v>0</v>
      </c>
      <c r="H32" s="6">
        <v>0.1</v>
      </c>
      <c r="I32" s="6">
        <v>0</v>
      </c>
      <c r="J32" s="6">
        <v>0.1</v>
      </c>
    </row>
    <row r="33" spans="1:10">
      <c r="A33" s="2" t="s">
        <v>499</v>
      </c>
      <c r="B33" s="2" t="s">
        <v>582</v>
      </c>
      <c r="C33" s="2">
        <v>10</v>
      </c>
      <c r="D33" s="2" t="s">
        <v>149</v>
      </c>
      <c r="E33" s="2"/>
      <c r="F33" s="2" t="s">
        <v>587</v>
      </c>
      <c r="G33" s="2">
        <v>0</v>
      </c>
      <c r="H33" s="6">
        <v>0.1</v>
      </c>
      <c r="I33" s="6">
        <v>0</v>
      </c>
      <c r="J33" s="6">
        <v>0.15</v>
      </c>
    </row>
    <row r="34" spans="1:10" ht="28.5">
      <c r="A34" s="2" t="s">
        <v>503</v>
      </c>
      <c r="B34" s="2" t="s">
        <v>507</v>
      </c>
      <c r="C34" s="2">
        <v>12</v>
      </c>
      <c r="D34" s="2" t="s">
        <v>149</v>
      </c>
      <c r="E34" s="2" t="s">
        <v>574</v>
      </c>
      <c r="F34" s="2" t="s">
        <v>588</v>
      </c>
      <c r="G34" s="2">
        <v>0</v>
      </c>
      <c r="H34" s="6">
        <v>0.2</v>
      </c>
      <c r="I34" s="6">
        <v>0</v>
      </c>
      <c r="J34" s="6">
        <v>0.03</v>
      </c>
    </row>
    <row r="35" spans="1:10">
      <c r="A35" s="2" t="s">
        <v>288</v>
      </c>
      <c r="B35" s="2" t="s">
        <v>507</v>
      </c>
      <c r="C35" s="2">
        <v>13</v>
      </c>
      <c r="D35" s="2" t="s">
        <v>149</v>
      </c>
      <c r="E35" s="2" t="s">
        <v>574</v>
      </c>
      <c r="F35" s="2" t="s">
        <v>589</v>
      </c>
      <c r="G35" s="2" t="s">
        <v>222</v>
      </c>
      <c r="H35" s="6">
        <v>0.05</v>
      </c>
      <c r="I35" s="6">
        <v>0.6</v>
      </c>
      <c r="J35" s="6">
        <v>0.03</v>
      </c>
    </row>
    <row r="36" spans="1:10">
      <c r="A36" s="2" t="s">
        <v>288</v>
      </c>
      <c r="B36" s="2" t="s">
        <v>507</v>
      </c>
      <c r="C36" s="2">
        <v>21</v>
      </c>
      <c r="D36" s="2" t="s">
        <v>149</v>
      </c>
      <c r="E36" s="2" t="s">
        <v>574</v>
      </c>
      <c r="F36" s="2" t="s">
        <v>589</v>
      </c>
      <c r="G36" s="2" t="s">
        <v>222</v>
      </c>
      <c r="H36" s="6">
        <v>0.05</v>
      </c>
      <c r="I36" s="6">
        <v>0.6</v>
      </c>
      <c r="J36" s="6">
        <v>0.03</v>
      </c>
    </row>
    <row r="37" spans="1:10">
      <c r="A37" s="2" t="s">
        <v>288</v>
      </c>
      <c r="B37" s="2" t="s">
        <v>250</v>
      </c>
      <c r="C37" s="2">
        <v>13</v>
      </c>
      <c r="D37" s="2" t="s">
        <v>249</v>
      </c>
      <c r="E37" s="2"/>
      <c r="F37" s="2" t="s">
        <v>589</v>
      </c>
      <c r="G37" s="2" t="s">
        <v>222</v>
      </c>
      <c r="H37" s="6">
        <v>0.05</v>
      </c>
      <c r="I37" s="6">
        <v>0.6</v>
      </c>
      <c r="J37" s="6">
        <v>0.1</v>
      </c>
    </row>
    <row r="38" spans="1:10">
      <c r="A38" s="2" t="s">
        <v>288</v>
      </c>
      <c r="B38" s="2" t="s">
        <v>580</v>
      </c>
      <c r="C38" s="2">
        <v>9</v>
      </c>
      <c r="D38" s="2" t="s">
        <v>149</v>
      </c>
      <c r="E38" s="2"/>
      <c r="F38" s="2" t="s">
        <v>589</v>
      </c>
      <c r="G38" s="2" t="s">
        <v>222</v>
      </c>
      <c r="H38" s="6">
        <v>0.05</v>
      </c>
      <c r="I38" s="6">
        <v>0.6</v>
      </c>
      <c r="J38" s="6">
        <v>0.2</v>
      </c>
    </row>
    <row r="39" spans="1:10">
      <c r="A39" s="2" t="s">
        <v>288</v>
      </c>
      <c r="B39" s="2" t="s">
        <v>581</v>
      </c>
      <c r="C39" s="2">
        <v>9</v>
      </c>
      <c r="D39" s="2" t="s">
        <v>149</v>
      </c>
      <c r="E39" s="2"/>
      <c r="F39" s="2" t="s">
        <v>589</v>
      </c>
      <c r="G39" s="2" t="s">
        <v>222</v>
      </c>
      <c r="H39" s="6">
        <v>0.05</v>
      </c>
      <c r="I39" s="6">
        <v>0.6</v>
      </c>
      <c r="J39" s="6">
        <v>0.1</v>
      </c>
    </row>
    <row r="40" spans="1:10">
      <c r="A40" s="2" t="s">
        <v>415</v>
      </c>
      <c r="B40" s="2" t="s">
        <v>507</v>
      </c>
      <c r="C40" s="2">
        <v>14</v>
      </c>
      <c r="D40" s="2" t="s">
        <v>149</v>
      </c>
      <c r="E40" s="2" t="s">
        <v>574</v>
      </c>
      <c r="F40" s="2" t="s">
        <v>590</v>
      </c>
      <c r="G40" s="2">
        <v>0</v>
      </c>
      <c r="H40" s="6">
        <v>4500</v>
      </c>
      <c r="I40" s="6">
        <v>4782</v>
      </c>
      <c r="J40" s="6">
        <v>0.03</v>
      </c>
    </row>
    <row r="41" spans="1:10">
      <c r="A41" s="2" t="s">
        <v>415</v>
      </c>
      <c r="B41" s="2" t="s">
        <v>580</v>
      </c>
      <c r="C41" s="2">
        <v>10</v>
      </c>
      <c r="D41" s="2" t="s">
        <v>149</v>
      </c>
      <c r="E41" s="2"/>
      <c r="F41" s="2" t="s">
        <v>590</v>
      </c>
      <c r="G41" s="2">
        <v>0</v>
      </c>
      <c r="H41" s="6">
        <v>4500</v>
      </c>
      <c r="I41" s="6">
        <v>4782</v>
      </c>
      <c r="J41" s="6">
        <v>0.2</v>
      </c>
    </row>
    <row r="42" spans="1:10">
      <c r="A42" s="2" t="s">
        <v>415</v>
      </c>
      <c r="B42" s="2" t="s">
        <v>581</v>
      </c>
      <c r="C42" s="2">
        <v>10</v>
      </c>
      <c r="D42" s="2" t="s">
        <v>149</v>
      </c>
      <c r="E42" s="2"/>
      <c r="F42" s="2" t="s">
        <v>590</v>
      </c>
      <c r="G42" s="2">
        <v>0</v>
      </c>
      <c r="H42" s="6">
        <v>4500</v>
      </c>
      <c r="I42" s="6">
        <v>4782</v>
      </c>
      <c r="J42" s="6">
        <v>0.05</v>
      </c>
    </row>
    <row r="43" spans="1:10">
      <c r="A43" s="2" t="s">
        <v>415</v>
      </c>
      <c r="B43" s="2" t="s">
        <v>591</v>
      </c>
      <c r="C43" s="2">
        <v>11</v>
      </c>
      <c r="D43" s="2" t="s">
        <v>592</v>
      </c>
      <c r="E43" s="2" t="s">
        <v>593</v>
      </c>
      <c r="F43" s="2" t="s">
        <v>590</v>
      </c>
      <c r="G43" s="2">
        <v>0</v>
      </c>
      <c r="H43" s="6">
        <v>4500</v>
      </c>
      <c r="I43" s="6">
        <v>4782</v>
      </c>
      <c r="J43" s="6">
        <v>0.04</v>
      </c>
    </row>
    <row r="44" spans="1:10">
      <c r="A44" s="2" t="s">
        <v>415</v>
      </c>
      <c r="B44" s="2" t="s">
        <v>594</v>
      </c>
      <c r="C44" s="2">
        <v>11</v>
      </c>
      <c r="D44" s="2" t="s">
        <v>592</v>
      </c>
      <c r="E44" s="2"/>
      <c r="F44" s="2" t="s">
        <v>590</v>
      </c>
      <c r="G44" s="2">
        <v>0</v>
      </c>
      <c r="H44" s="6">
        <v>4500</v>
      </c>
      <c r="I44" s="6">
        <v>4782</v>
      </c>
      <c r="J44" s="6">
        <v>0.05</v>
      </c>
    </row>
    <row r="45" spans="1:10" ht="28.5">
      <c r="A45" s="2" t="s">
        <v>473</v>
      </c>
      <c r="B45" s="2" t="s">
        <v>507</v>
      </c>
      <c r="C45" s="2">
        <v>15</v>
      </c>
      <c r="D45" s="2" t="s">
        <v>149</v>
      </c>
      <c r="E45" s="2" t="s">
        <v>574</v>
      </c>
      <c r="F45" s="2" t="s">
        <v>595</v>
      </c>
      <c r="G45" s="2" t="s">
        <v>74</v>
      </c>
      <c r="H45" s="6">
        <v>0.05</v>
      </c>
      <c r="I45" s="6">
        <v>0.05</v>
      </c>
      <c r="J45" s="6">
        <v>0.03</v>
      </c>
    </row>
    <row r="46" spans="1:10" ht="28.5">
      <c r="A46" s="2" t="s">
        <v>473</v>
      </c>
      <c r="B46" s="2" t="s">
        <v>413</v>
      </c>
      <c r="C46" s="2">
        <v>12</v>
      </c>
      <c r="D46" s="2" t="s">
        <v>149</v>
      </c>
      <c r="E46" s="2"/>
      <c r="F46" s="2" t="s">
        <v>595</v>
      </c>
      <c r="G46" s="2" t="s">
        <v>74</v>
      </c>
      <c r="H46" s="6">
        <v>0.05</v>
      </c>
      <c r="I46" s="6">
        <v>0.05</v>
      </c>
      <c r="J46" s="6">
        <v>0.1</v>
      </c>
    </row>
    <row r="47" spans="1:10">
      <c r="A47" s="2" t="s">
        <v>490</v>
      </c>
      <c r="B47" s="2" t="s">
        <v>507</v>
      </c>
      <c r="C47" s="2">
        <v>16</v>
      </c>
      <c r="D47" s="2" t="s">
        <v>149</v>
      </c>
      <c r="E47" s="2" t="s">
        <v>574</v>
      </c>
      <c r="F47" s="2" t="s">
        <v>596</v>
      </c>
      <c r="G47" s="2" t="s">
        <v>495</v>
      </c>
      <c r="H47" s="6">
        <v>1</v>
      </c>
      <c r="I47" s="6">
        <v>1</v>
      </c>
      <c r="J47" s="6">
        <v>0.03</v>
      </c>
    </row>
    <row r="48" spans="1:10">
      <c r="A48" s="2" t="s">
        <v>490</v>
      </c>
      <c r="B48" s="2" t="s">
        <v>250</v>
      </c>
      <c r="C48" s="2">
        <v>12</v>
      </c>
      <c r="D48" s="2" t="s">
        <v>249</v>
      </c>
      <c r="E48" s="2"/>
      <c r="F48" s="2" t="s">
        <v>596</v>
      </c>
      <c r="G48" s="2" t="s">
        <v>495</v>
      </c>
      <c r="H48" s="6">
        <v>1</v>
      </c>
      <c r="I48" s="6">
        <v>1</v>
      </c>
      <c r="J48" s="6">
        <v>0.05</v>
      </c>
    </row>
    <row r="49" spans="1:10">
      <c r="A49" s="2" t="s">
        <v>490</v>
      </c>
      <c r="B49" s="2" t="s">
        <v>580</v>
      </c>
      <c r="C49" s="2">
        <v>11</v>
      </c>
      <c r="D49" s="2" t="s">
        <v>149</v>
      </c>
      <c r="E49" s="2"/>
      <c r="F49" s="2" t="s">
        <v>596</v>
      </c>
      <c r="G49" s="2" t="s">
        <v>495</v>
      </c>
      <c r="H49" s="6">
        <v>1</v>
      </c>
      <c r="I49" s="6">
        <v>1</v>
      </c>
      <c r="J49" s="6">
        <v>0.1</v>
      </c>
    </row>
    <row r="50" spans="1:10">
      <c r="A50" s="2" t="s">
        <v>490</v>
      </c>
      <c r="B50" s="2" t="s">
        <v>581</v>
      </c>
      <c r="C50" s="2">
        <v>11</v>
      </c>
      <c r="D50" s="2" t="s">
        <v>149</v>
      </c>
      <c r="E50" s="2"/>
      <c r="F50" s="2" t="s">
        <v>596</v>
      </c>
      <c r="G50" s="2" t="s">
        <v>495</v>
      </c>
      <c r="H50" s="6">
        <v>1</v>
      </c>
      <c r="I50" s="6">
        <v>1</v>
      </c>
      <c r="J50" s="6">
        <v>0.05</v>
      </c>
    </row>
    <row r="51" spans="1:10">
      <c r="A51" s="2" t="s">
        <v>496</v>
      </c>
      <c r="B51" s="2" t="s">
        <v>507</v>
      </c>
      <c r="C51" s="2">
        <v>17</v>
      </c>
      <c r="D51" s="2" t="s">
        <v>149</v>
      </c>
      <c r="E51" s="2" t="s">
        <v>574</v>
      </c>
      <c r="F51" s="2" t="s">
        <v>597</v>
      </c>
      <c r="G51" s="2">
        <v>0</v>
      </c>
      <c r="H51" s="6">
        <v>0.05</v>
      </c>
      <c r="I51" s="6">
        <v>0.05</v>
      </c>
      <c r="J51" s="6">
        <v>0.08</v>
      </c>
    </row>
    <row r="52" spans="1:10">
      <c r="A52" s="2" t="s">
        <v>496</v>
      </c>
      <c r="B52" s="2" t="s">
        <v>413</v>
      </c>
      <c r="C52" s="2">
        <v>9</v>
      </c>
      <c r="D52" s="2" t="s">
        <v>149</v>
      </c>
      <c r="E52" s="2"/>
      <c r="F52" s="2" t="s">
        <v>597</v>
      </c>
      <c r="G52" s="2">
        <v>0</v>
      </c>
      <c r="H52" s="6">
        <v>0.05</v>
      </c>
      <c r="I52" s="6">
        <v>0.05</v>
      </c>
      <c r="J52" s="6">
        <v>0.05</v>
      </c>
    </row>
    <row r="53" spans="1:10">
      <c r="A53" s="2" t="s">
        <v>496</v>
      </c>
      <c r="B53" s="2" t="s">
        <v>580</v>
      </c>
      <c r="C53" s="2">
        <v>12</v>
      </c>
      <c r="D53" s="2" t="s">
        <v>149</v>
      </c>
      <c r="E53" s="2"/>
      <c r="F53" s="2" t="s">
        <v>597</v>
      </c>
      <c r="G53" s="2">
        <v>0</v>
      </c>
      <c r="H53" s="6">
        <v>0.05</v>
      </c>
      <c r="I53" s="6">
        <v>0.05</v>
      </c>
      <c r="J53" s="6">
        <v>0.05</v>
      </c>
    </row>
    <row r="54" spans="1:10">
      <c r="A54" s="2" t="s">
        <v>496</v>
      </c>
      <c r="B54" s="2" t="s">
        <v>581</v>
      </c>
      <c r="C54" s="2">
        <v>12</v>
      </c>
      <c r="D54" s="2" t="s">
        <v>149</v>
      </c>
      <c r="E54" s="2"/>
      <c r="F54" s="2" t="s">
        <v>597</v>
      </c>
      <c r="G54" s="2">
        <v>0</v>
      </c>
      <c r="H54" s="6">
        <v>0.05</v>
      </c>
      <c r="I54" s="6">
        <v>0.05</v>
      </c>
      <c r="J54" s="6">
        <v>2.5000000000000001E-2</v>
      </c>
    </row>
    <row r="55" spans="1:10">
      <c r="A55" s="2" t="s">
        <v>496</v>
      </c>
      <c r="B55" s="2" t="s">
        <v>582</v>
      </c>
      <c r="C55" s="2">
        <v>11</v>
      </c>
      <c r="D55" s="2" t="s">
        <v>149</v>
      </c>
      <c r="E55" s="2"/>
      <c r="F55" s="2" t="s">
        <v>597</v>
      </c>
      <c r="G55" s="2">
        <v>0</v>
      </c>
      <c r="H55" s="6">
        <v>0.05</v>
      </c>
      <c r="I55" s="6">
        <v>0.05</v>
      </c>
      <c r="J55" s="6">
        <v>0.1</v>
      </c>
    </row>
    <row r="56" spans="1:10">
      <c r="A56" s="2" t="s">
        <v>496</v>
      </c>
      <c r="B56" s="2" t="s">
        <v>81</v>
      </c>
      <c r="C56" s="2">
        <v>8</v>
      </c>
      <c r="D56" s="2"/>
      <c r="E56" s="2"/>
      <c r="F56" s="2" t="s">
        <v>597</v>
      </c>
      <c r="G56" s="2"/>
      <c r="H56" s="6">
        <v>0.05</v>
      </c>
      <c r="I56" s="6">
        <v>0.05</v>
      </c>
      <c r="J56" s="6">
        <v>0.05</v>
      </c>
    </row>
    <row r="57" spans="1:10">
      <c r="A57" s="2" t="s">
        <v>496</v>
      </c>
      <c r="B57" s="2" t="s">
        <v>81</v>
      </c>
      <c r="C57" s="2">
        <v>27</v>
      </c>
      <c r="D57" s="2"/>
      <c r="E57" s="2"/>
      <c r="F57" s="2" t="s">
        <v>597</v>
      </c>
      <c r="G57" s="2"/>
      <c r="H57" s="6"/>
      <c r="I57" s="6"/>
      <c r="J57" s="6">
        <v>0.05</v>
      </c>
    </row>
    <row r="58" spans="1:10">
      <c r="A58" s="2" t="s">
        <v>496</v>
      </c>
      <c r="B58" s="2" t="s">
        <v>94</v>
      </c>
      <c r="C58" s="2">
        <v>10</v>
      </c>
      <c r="D58" s="2"/>
      <c r="E58" s="2"/>
      <c r="F58" s="2" t="s">
        <v>597</v>
      </c>
      <c r="G58" s="2" t="s">
        <v>82</v>
      </c>
      <c r="H58" s="6">
        <v>0.05</v>
      </c>
      <c r="I58" s="6"/>
      <c r="J58" s="6">
        <v>0.05</v>
      </c>
    </row>
    <row r="59" spans="1:10">
      <c r="A59" s="2" t="s">
        <v>464</v>
      </c>
      <c r="B59" s="2" t="s">
        <v>507</v>
      </c>
      <c r="C59" s="2">
        <v>18</v>
      </c>
      <c r="D59" s="2" t="s">
        <v>149</v>
      </c>
      <c r="E59" s="2" t="s">
        <v>574</v>
      </c>
      <c r="F59" s="2" t="s">
        <v>598</v>
      </c>
      <c r="G59" s="2">
        <v>0</v>
      </c>
      <c r="H59" s="6">
        <v>0.05</v>
      </c>
      <c r="I59" s="6">
        <v>1</v>
      </c>
      <c r="J59" s="6">
        <v>0.08</v>
      </c>
    </row>
    <row r="60" spans="1:10">
      <c r="A60" s="2" t="s">
        <v>464</v>
      </c>
      <c r="B60" s="2" t="s">
        <v>413</v>
      </c>
      <c r="C60" s="2">
        <v>10</v>
      </c>
      <c r="D60" s="2" t="s">
        <v>149</v>
      </c>
      <c r="E60" s="2"/>
      <c r="F60" s="2" t="s">
        <v>598</v>
      </c>
      <c r="G60" s="2">
        <v>0</v>
      </c>
      <c r="H60" s="6">
        <v>0.05</v>
      </c>
      <c r="I60" s="6">
        <v>1</v>
      </c>
      <c r="J60" s="6">
        <v>0.1</v>
      </c>
    </row>
    <row r="61" spans="1:10">
      <c r="A61" s="2" t="s">
        <v>464</v>
      </c>
      <c r="B61" s="2" t="s">
        <v>580</v>
      </c>
      <c r="C61" s="2">
        <v>13</v>
      </c>
      <c r="D61" s="2" t="s">
        <v>149</v>
      </c>
      <c r="E61" s="2"/>
      <c r="F61" s="2" t="s">
        <v>598</v>
      </c>
      <c r="G61" s="2">
        <v>0</v>
      </c>
      <c r="H61" s="6">
        <v>0.05</v>
      </c>
      <c r="I61" s="6">
        <v>1</v>
      </c>
      <c r="J61" s="6">
        <v>0.05</v>
      </c>
    </row>
    <row r="62" spans="1:10">
      <c r="A62" s="2" t="s">
        <v>464</v>
      </c>
      <c r="B62" s="2" t="s">
        <v>581</v>
      </c>
      <c r="C62" s="2">
        <v>14</v>
      </c>
      <c r="D62" s="2" t="s">
        <v>149</v>
      </c>
      <c r="E62" s="2"/>
      <c r="F62" s="2" t="s">
        <v>598</v>
      </c>
      <c r="G62" s="2">
        <v>0</v>
      </c>
      <c r="H62" s="6">
        <v>0.05</v>
      </c>
      <c r="I62" s="6">
        <v>1</v>
      </c>
      <c r="J62" s="6">
        <v>2.5000000000000001E-2</v>
      </c>
    </row>
    <row r="63" spans="1:10">
      <c r="A63" s="2" t="s">
        <v>464</v>
      </c>
      <c r="B63" s="2" t="s">
        <v>582</v>
      </c>
      <c r="C63" s="2">
        <v>12</v>
      </c>
      <c r="D63" s="2" t="s">
        <v>149</v>
      </c>
      <c r="E63" s="2"/>
      <c r="F63" s="2" t="s">
        <v>598</v>
      </c>
      <c r="G63" s="2">
        <v>0</v>
      </c>
      <c r="H63" s="6">
        <v>0.05</v>
      </c>
      <c r="I63" s="6">
        <v>1</v>
      </c>
      <c r="J63" s="6">
        <v>0.1</v>
      </c>
    </row>
    <row r="64" spans="1:10">
      <c r="A64" s="2" t="s">
        <v>464</v>
      </c>
      <c r="B64" s="2" t="s">
        <v>81</v>
      </c>
      <c r="C64" s="2">
        <v>7</v>
      </c>
      <c r="D64" s="2"/>
      <c r="E64" s="2"/>
      <c r="F64" s="2" t="s">
        <v>598</v>
      </c>
      <c r="G64" s="2"/>
      <c r="H64" s="6">
        <v>0.05</v>
      </c>
      <c r="I64" s="6">
        <v>1</v>
      </c>
      <c r="J64" s="6">
        <v>0.05</v>
      </c>
    </row>
    <row r="65" spans="1:10">
      <c r="A65" s="2" t="s">
        <v>464</v>
      </c>
      <c r="B65" s="2" t="s">
        <v>81</v>
      </c>
      <c r="C65" s="2">
        <v>26</v>
      </c>
      <c r="D65" s="2"/>
      <c r="E65" s="2"/>
      <c r="F65" s="2" t="s">
        <v>598</v>
      </c>
      <c r="G65" s="2"/>
      <c r="H65" s="6"/>
      <c r="I65" s="6"/>
      <c r="J65" s="6">
        <v>0.05</v>
      </c>
    </row>
    <row r="66" spans="1:10">
      <c r="A66" s="2" t="s">
        <v>464</v>
      </c>
      <c r="B66" s="2" t="s">
        <v>94</v>
      </c>
      <c r="C66" s="2">
        <v>9</v>
      </c>
      <c r="D66" s="2"/>
      <c r="E66" s="2"/>
      <c r="F66" s="2" t="s">
        <v>598</v>
      </c>
      <c r="G66" s="2" t="s">
        <v>82</v>
      </c>
      <c r="H66" s="6">
        <v>0.05</v>
      </c>
      <c r="I66" s="6"/>
      <c r="J66" s="6">
        <v>0.05</v>
      </c>
    </row>
    <row r="67" spans="1:10">
      <c r="A67" s="2" t="s">
        <v>331</v>
      </c>
      <c r="B67" s="2" t="s">
        <v>507</v>
      </c>
      <c r="C67" s="2">
        <v>19</v>
      </c>
      <c r="D67" s="2" t="s">
        <v>149</v>
      </c>
      <c r="E67" s="2" t="s">
        <v>574</v>
      </c>
      <c r="F67" s="2" t="s">
        <v>599</v>
      </c>
      <c r="G67" s="2" t="s">
        <v>339</v>
      </c>
      <c r="H67" s="6">
        <v>6</v>
      </c>
      <c r="I67" s="6">
        <v>6</v>
      </c>
      <c r="J67" s="6">
        <v>0.1</v>
      </c>
    </row>
    <row r="68" spans="1:10">
      <c r="A68" s="2" t="s">
        <v>331</v>
      </c>
      <c r="B68" s="2" t="s">
        <v>413</v>
      </c>
      <c r="C68" s="2">
        <v>11</v>
      </c>
      <c r="D68" s="2" t="s">
        <v>149</v>
      </c>
      <c r="E68" s="2"/>
      <c r="F68" s="2" t="s">
        <v>599</v>
      </c>
      <c r="G68" s="2" t="s">
        <v>339</v>
      </c>
      <c r="H68" s="6">
        <v>6</v>
      </c>
      <c r="I68" s="6">
        <v>6</v>
      </c>
      <c r="J68" s="6">
        <v>0.1</v>
      </c>
    </row>
    <row r="69" spans="1:10">
      <c r="A69" s="2" t="s">
        <v>331</v>
      </c>
      <c r="B69" s="2" t="s">
        <v>580</v>
      </c>
      <c r="C69" s="2">
        <v>14</v>
      </c>
      <c r="D69" s="2" t="s">
        <v>149</v>
      </c>
      <c r="E69" s="2"/>
      <c r="F69" s="2" t="s">
        <v>599</v>
      </c>
      <c r="G69" s="2" t="s">
        <v>339</v>
      </c>
      <c r="H69" s="6">
        <v>6</v>
      </c>
      <c r="I69" s="6">
        <v>6</v>
      </c>
      <c r="J69" s="6">
        <v>0.05</v>
      </c>
    </row>
    <row r="70" spans="1:10">
      <c r="A70" s="2" t="s">
        <v>331</v>
      </c>
      <c r="B70" s="2" t="s">
        <v>581</v>
      </c>
      <c r="C70" s="2">
        <v>15</v>
      </c>
      <c r="D70" s="2" t="s">
        <v>149</v>
      </c>
      <c r="E70" s="2"/>
      <c r="F70" s="2" t="s">
        <v>599</v>
      </c>
      <c r="G70" s="2" t="s">
        <v>339</v>
      </c>
      <c r="H70" s="6">
        <v>6</v>
      </c>
      <c r="I70" s="6">
        <v>6</v>
      </c>
      <c r="J70" s="6">
        <v>0.1</v>
      </c>
    </row>
    <row r="71" spans="1:10">
      <c r="A71" s="2" t="s">
        <v>331</v>
      </c>
      <c r="B71" s="2" t="s">
        <v>582</v>
      </c>
      <c r="C71" s="2">
        <v>13</v>
      </c>
      <c r="D71" s="2" t="s">
        <v>149</v>
      </c>
      <c r="E71" s="2"/>
      <c r="F71" s="2" t="s">
        <v>599</v>
      </c>
      <c r="G71" s="2" t="s">
        <v>339</v>
      </c>
      <c r="H71" s="6">
        <v>6</v>
      </c>
      <c r="I71" s="6">
        <v>6</v>
      </c>
      <c r="J71" s="6">
        <v>0.15</v>
      </c>
    </row>
    <row r="72" spans="1:10">
      <c r="A72" s="2" t="s">
        <v>180</v>
      </c>
      <c r="B72" s="2" t="s">
        <v>507</v>
      </c>
      <c r="C72" s="2">
        <v>20</v>
      </c>
      <c r="D72" s="2" t="s">
        <v>149</v>
      </c>
      <c r="E72" s="2" t="s">
        <v>574</v>
      </c>
      <c r="F72" s="2" t="s">
        <v>600</v>
      </c>
      <c r="G72" s="2" t="s">
        <v>95</v>
      </c>
      <c r="H72" s="6">
        <v>0.2</v>
      </c>
      <c r="I72" s="6">
        <v>1.03</v>
      </c>
      <c r="J72" s="6">
        <v>0.03</v>
      </c>
    </row>
    <row r="73" spans="1:10">
      <c r="A73" s="2" t="s">
        <v>180</v>
      </c>
      <c r="B73" s="2" t="s">
        <v>151</v>
      </c>
      <c r="C73" s="2">
        <v>10</v>
      </c>
      <c r="D73" s="2" t="s">
        <v>149</v>
      </c>
      <c r="E73" s="2"/>
      <c r="F73" s="2" t="s">
        <v>600</v>
      </c>
      <c r="G73" s="2" t="s">
        <v>95</v>
      </c>
      <c r="H73" s="6">
        <v>0.2</v>
      </c>
      <c r="I73" s="6">
        <v>1.03</v>
      </c>
      <c r="J73" s="6">
        <v>0.25</v>
      </c>
    </row>
    <row r="74" spans="1:10">
      <c r="A74" s="2" t="s">
        <v>308</v>
      </c>
      <c r="B74" s="2" t="s">
        <v>601</v>
      </c>
      <c r="C74" s="2">
        <v>7</v>
      </c>
      <c r="D74" s="2" t="s">
        <v>602</v>
      </c>
      <c r="E74" s="2" t="s">
        <v>601</v>
      </c>
      <c r="F74" s="2" t="s">
        <v>603</v>
      </c>
      <c r="G74" s="2">
        <v>0</v>
      </c>
      <c r="H74" s="6">
        <v>1</v>
      </c>
      <c r="I74" s="6">
        <v>1</v>
      </c>
      <c r="J74" s="6">
        <v>0.05</v>
      </c>
    </row>
    <row r="75" spans="1:10">
      <c r="A75" s="2" t="s">
        <v>308</v>
      </c>
      <c r="B75" s="2" t="s">
        <v>601</v>
      </c>
      <c r="C75" s="2">
        <v>17</v>
      </c>
      <c r="D75" s="2" t="s">
        <v>602</v>
      </c>
      <c r="E75" s="2" t="s">
        <v>601</v>
      </c>
      <c r="F75" s="2" t="s">
        <v>603</v>
      </c>
      <c r="G75" s="2">
        <v>0</v>
      </c>
      <c r="H75" s="6">
        <v>1</v>
      </c>
      <c r="I75" s="6">
        <v>1</v>
      </c>
      <c r="J75" s="6">
        <v>0.05</v>
      </c>
    </row>
    <row r="76" spans="1:10">
      <c r="A76" s="2" t="s">
        <v>308</v>
      </c>
      <c r="B76" s="2" t="s">
        <v>601</v>
      </c>
      <c r="C76" s="2">
        <v>29</v>
      </c>
      <c r="D76" s="2" t="s">
        <v>602</v>
      </c>
      <c r="E76" s="2" t="s">
        <v>601</v>
      </c>
      <c r="F76" s="2" t="s">
        <v>603</v>
      </c>
      <c r="G76" s="2">
        <v>0</v>
      </c>
      <c r="H76" s="6">
        <v>1</v>
      </c>
      <c r="I76" s="6">
        <v>1</v>
      </c>
      <c r="J76" s="6">
        <v>0.05</v>
      </c>
    </row>
    <row r="77" spans="1:10">
      <c r="A77" s="2" t="s">
        <v>308</v>
      </c>
      <c r="B77" s="2" t="s">
        <v>459</v>
      </c>
      <c r="C77" s="2">
        <v>7</v>
      </c>
      <c r="D77" s="2" t="s">
        <v>577</v>
      </c>
      <c r="E77" s="2" t="s">
        <v>604</v>
      </c>
      <c r="F77" s="2" t="s">
        <v>603</v>
      </c>
      <c r="G77" s="2">
        <v>0</v>
      </c>
      <c r="H77" s="6">
        <v>1</v>
      </c>
      <c r="I77" s="6">
        <v>1</v>
      </c>
      <c r="J77" s="6">
        <v>0.05</v>
      </c>
    </row>
    <row r="78" spans="1:10">
      <c r="A78" s="2" t="s">
        <v>308</v>
      </c>
      <c r="B78" s="2" t="s">
        <v>221</v>
      </c>
      <c r="C78" s="2">
        <v>7</v>
      </c>
      <c r="D78" s="2" t="s">
        <v>577</v>
      </c>
      <c r="E78" s="2" t="s">
        <v>605</v>
      </c>
      <c r="F78" s="2" t="s">
        <v>603</v>
      </c>
      <c r="G78" s="2">
        <v>0</v>
      </c>
      <c r="H78" s="6">
        <v>1</v>
      </c>
      <c r="I78" s="6">
        <v>1</v>
      </c>
      <c r="J78" s="6">
        <v>0.05</v>
      </c>
    </row>
    <row r="79" spans="1:10">
      <c r="A79" s="2" t="s">
        <v>308</v>
      </c>
      <c r="B79" s="2" t="s">
        <v>576</v>
      </c>
      <c r="C79" s="2">
        <v>8</v>
      </c>
      <c r="D79" s="2" t="s">
        <v>577</v>
      </c>
      <c r="E79" s="2" t="s">
        <v>578</v>
      </c>
      <c r="F79" s="2" t="s">
        <v>603</v>
      </c>
      <c r="G79" s="2">
        <v>0</v>
      </c>
      <c r="H79" s="6">
        <v>1</v>
      </c>
      <c r="I79" s="6">
        <v>1</v>
      </c>
      <c r="J79" s="6">
        <v>0.6</v>
      </c>
    </row>
    <row r="80" spans="1:10">
      <c r="A80" s="2" t="s">
        <v>308</v>
      </c>
      <c r="B80" s="2" t="s">
        <v>250</v>
      </c>
      <c r="C80" s="2">
        <v>8</v>
      </c>
      <c r="D80" s="2" t="s">
        <v>249</v>
      </c>
      <c r="E80" s="2"/>
      <c r="F80" s="2" t="s">
        <v>603</v>
      </c>
      <c r="G80" s="2">
        <v>0</v>
      </c>
      <c r="H80" s="6">
        <v>1</v>
      </c>
      <c r="I80" s="6">
        <v>1</v>
      </c>
      <c r="J80" s="6">
        <v>0.1</v>
      </c>
    </row>
    <row r="81" spans="1:10">
      <c r="A81" s="2" t="s">
        <v>308</v>
      </c>
      <c r="B81" s="2" t="s">
        <v>606</v>
      </c>
      <c r="C81" s="2">
        <v>12</v>
      </c>
      <c r="D81" s="2" t="s">
        <v>607</v>
      </c>
      <c r="E81" s="2" t="s">
        <v>606</v>
      </c>
      <c r="F81" s="2" t="s">
        <v>603</v>
      </c>
      <c r="G81" s="2">
        <v>0</v>
      </c>
      <c r="H81" s="6">
        <v>1</v>
      </c>
      <c r="I81" s="6">
        <v>1</v>
      </c>
      <c r="J81" s="6">
        <v>0.05</v>
      </c>
    </row>
    <row r="82" spans="1:10">
      <c r="A82" s="2" t="s">
        <v>308</v>
      </c>
      <c r="B82" s="2" t="s">
        <v>608</v>
      </c>
      <c r="C82" s="2">
        <v>12</v>
      </c>
      <c r="D82" s="2" t="s">
        <v>607</v>
      </c>
      <c r="E82" s="2" t="s">
        <v>606</v>
      </c>
      <c r="F82" s="2" t="s">
        <v>603</v>
      </c>
      <c r="G82" s="2">
        <v>0</v>
      </c>
      <c r="H82" s="6">
        <v>1</v>
      </c>
      <c r="I82" s="6">
        <v>1</v>
      </c>
      <c r="J82" s="6">
        <v>0.08</v>
      </c>
    </row>
    <row r="83" spans="1:10">
      <c r="A83" s="2" t="s">
        <v>308</v>
      </c>
      <c r="B83" s="2" t="s">
        <v>609</v>
      </c>
      <c r="C83" s="2">
        <v>13</v>
      </c>
      <c r="D83" s="2" t="s">
        <v>610</v>
      </c>
      <c r="E83" s="2" t="s">
        <v>611</v>
      </c>
      <c r="F83" s="2" t="s">
        <v>603</v>
      </c>
      <c r="G83" s="2">
        <v>0</v>
      </c>
      <c r="H83" s="6">
        <v>1</v>
      </c>
      <c r="I83" s="6">
        <v>1</v>
      </c>
      <c r="J83" s="6">
        <v>0.05</v>
      </c>
    </row>
    <row r="84" spans="1:10">
      <c r="A84" s="2" t="s">
        <v>308</v>
      </c>
      <c r="B84" s="2" t="s">
        <v>612</v>
      </c>
      <c r="C84" s="2">
        <v>13</v>
      </c>
      <c r="D84" s="2" t="s">
        <v>610</v>
      </c>
      <c r="E84" s="2" t="s">
        <v>611</v>
      </c>
      <c r="F84" s="2" t="s">
        <v>603</v>
      </c>
      <c r="G84" s="2">
        <v>0</v>
      </c>
      <c r="H84" s="6">
        <v>1</v>
      </c>
      <c r="I84" s="6">
        <v>1</v>
      </c>
      <c r="J84" s="6">
        <v>0.08</v>
      </c>
    </row>
    <row r="85" spans="1:10">
      <c r="A85" s="2" t="s">
        <v>308</v>
      </c>
      <c r="B85" s="2" t="s">
        <v>591</v>
      </c>
      <c r="C85" s="2">
        <v>9</v>
      </c>
      <c r="D85" s="2" t="s">
        <v>592</v>
      </c>
      <c r="E85" s="2" t="s">
        <v>593</v>
      </c>
      <c r="F85" s="2" t="s">
        <v>603</v>
      </c>
      <c r="G85" s="2">
        <v>0</v>
      </c>
      <c r="H85" s="6">
        <v>1</v>
      </c>
      <c r="I85" s="6">
        <v>1</v>
      </c>
      <c r="J85" s="6">
        <v>0.1</v>
      </c>
    </row>
    <row r="86" spans="1:10">
      <c r="A86" s="2" t="s">
        <v>308</v>
      </c>
      <c r="B86" s="2" t="s">
        <v>594</v>
      </c>
      <c r="C86" s="2">
        <v>9</v>
      </c>
      <c r="D86" s="2" t="s">
        <v>592</v>
      </c>
      <c r="E86" s="2"/>
      <c r="F86" s="2" t="s">
        <v>603</v>
      </c>
      <c r="G86" s="2">
        <v>0</v>
      </c>
      <c r="H86" s="6">
        <v>1</v>
      </c>
      <c r="I86" s="6">
        <v>1</v>
      </c>
      <c r="J86" s="6">
        <v>0.1</v>
      </c>
    </row>
    <row r="87" spans="1:10">
      <c r="A87" s="2" t="s">
        <v>308</v>
      </c>
      <c r="B87" s="2" t="s">
        <v>81</v>
      </c>
      <c r="C87" s="2">
        <v>4</v>
      </c>
      <c r="D87" s="2"/>
      <c r="E87" s="2"/>
      <c r="F87" s="2" t="s">
        <v>603</v>
      </c>
      <c r="G87" s="2"/>
      <c r="H87" s="6">
        <v>1</v>
      </c>
      <c r="I87" s="6">
        <v>1</v>
      </c>
      <c r="J87" s="6">
        <v>0.05</v>
      </c>
    </row>
    <row r="88" spans="1:10">
      <c r="A88" s="2" t="s">
        <v>308</v>
      </c>
      <c r="B88" s="2" t="s">
        <v>81</v>
      </c>
      <c r="C88" s="2">
        <v>23</v>
      </c>
      <c r="D88" s="2"/>
      <c r="E88" s="2"/>
      <c r="F88" s="2" t="s">
        <v>603</v>
      </c>
      <c r="G88" s="2"/>
      <c r="H88" s="6"/>
      <c r="I88" s="6"/>
      <c r="J88" s="6">
        <v>0.05</v>
      </c>
    </row>
    <row r="89" spans="1:10">
      <c r="A89" s="2" t="s">
        <v>308</v>
      </c>
      <c r="B89" s="2" t="s">
        <v>94</v>
      </c>
      <c r="C89" s="2">
        <v>6</v>
      </c>
      <c r="D89" s="2"/>
      <c r="E89" s="2"/>
      <c r="F89" s="2" t="s">
        <v>603</v>
      </c>
      <c r="G89" s="2" t="s">
        <v>613</v>
      </c>
      <c r="H89" s="6">
        <v>1</v>
      </c>
      <c r="I89" s="6"/>
      <c r="J89" s="6">
        <v>0.05</v>
      </c>
    </row>
    <row r="90" spans="1:10" ht="28.5">
      <c r="A90" s="2" t="s">
        <v>511</v>
      </c>
      <c r="B90" s="2" t="s">
        <v>601</v>
      </c>
      <c r="C90" s="2">
        <v>8</v>
      </c>
      <c r="D90" s="2" t="s">
        <v>602</v>
      </c>
      <c r="E90" s="2" t="s">
        <v>601</v>
      </c>
      <c r="F90" s="2" t="s">
        <v>614</v>
      </c>
      <c r="G90" s="2">
        <v>0</v>
      </c>
      <c r="H90" s="6">
        <v>1</v>
      </c>
      <c r="I90" s="6">
        <v>1</v>
      </c>
      <c r="J90" s="6">
        <v>0.25</v>
      </c>
    </row>
    <row r="91" spans="1:10" ht="28.5">
      <c r="A91" s="2" t="s">
        <v>511</v>
      </c>
      <c r="B91" s="2" t="s">
        <v>601</v>
      </c>
      <c r="C91" s="2">
        <v>18</v>
      </c>
      <c r="D91" s="2" t="s">
        <v>602</v>
      </c>
      <c r="E91" s="2" t="s">
        <v>601</v>
      </c>
      <c r="F91" s="2" t="s">
        <v>614</v>
      </c>
      <c r="G91" s="2">
        <v>0</v>
      </c>
      <c r="H91" s="6">
        <v>1</v>
      </c>
      <c r="I91" s="6">
        <v>1</v>
      </c>
      <c r="J91" s="6">
        <v>0.25</v>
      </c>
    </row>
    <row r="92" spans="1:10" ht="28.5">
      <c r="A92" s="2" t="s">
        <v>511</v>
      </c>
      <c r="B92" s="2" t="s">
        <v>601</v>
      </c>
      <c r="C92" s="2">
        <v>30</v>
      </c>
      <c r="D92" s="2" t="s">
        <v>602</v>
      </c>
      <c r="E92" s="2" t="s">
        <v>601</v>
      </c>
      <c r="F92" s="2" t="s">
        <v>614</v>
      </c>
      <c r="G92" s="2">
        <v>0</v>
      </c>
      <c r="H92" s="6">
        <v>1</v>
      </c>
      <c r="I92" s="6">
        <v>1</v>
      </c>
      <c r="J92" s="6">
        <v>0.25</v>
      </c>
    </row>
    <row r="93" spans="1:10" ht="28.5">
      <c r="A93" s="2" t="s">
        <v>511</v>
      </c>
      <c r="B93" s="2" t="s">
        <v>615</v>
      </c>
      <c r="C93" s="2">
        <v>7</v>
      </c>
      <c r="D93" s="2" t="s">
        <v>577</v>
      </c>
      <c r="E93" s="2"/>
      <c r="F93" s="2" t="s">
        <v>614</v>
      </c>
      <c r="G93" s="2">
        <v>0</v>
      </c>
      <c r="H93" s="6">
        <v>1</v>
      </c>
      <c r="I93" s="6">
        <v>1</v>
      </c>
      <c r="J93" s="6">
        <v>0.6</v>
      </c>
    </row>
    <row r="94" spans="1:10" ht="28.5">
      <c r="A94" s="2" t="s">
        <v>511</v>
      </c>
      <c r="B94" s="2" t="s">
        <v>81</v>
      </c>
      <c r="C94" s="2">
        <v>9</v>
      </c>
      <c r="D94" s="2"/>
      <c r="E94" s="2"/>
      <c r="F94" s="2" t="s">
        <v>614</v>
      </c>
      <c r="G94" s="2"/>
      <c r="H94" s="6">
        <v>1</v>
      </c>
      <c r="I94" s="6">
        <v>1</v>
      </c>
      <c r="J94" s="6">
        <v>0.05</v>
      </c>
    </row>
    <row r="95" spans="1:10" ht="28.5">
      <c r="A95" s="2" t="s">
        <v>511</v>
      </c>
      <c r="B95" s="2" t="s">
        <v>94</v>
      </c>
      <c r="C95" s="2">
        <v>11</v>
      </c>
      <c r="D95" s="2"/>
      <c r="E95" s="2"/>
      <c r="F95" s="2" t="s">
        <v>614</v>
      </c>
      <c r="G95" s="2" t="s">
        <v>616</v>
      </c>
      <c r="H95" s="6">
        <v>1</v>
      </c>
      <c r="I95" s="6"/>
      <c r="J95" s="6">
        <v>0.05</v>
      </c>
    </row>
    <row r="96" spans="1:10">
      <c r="A96" s="2" t="s">
        <v>450</v>
      </c>
      <c r="B96" s="2" t="s">
        <v>601</v>
      </c>
      <c r="C96" s="2">
        <v>9</v>
      </c>
      <c r="D96" s="2" t="s">
        <v>602</v>
      </c>
      <c r="E96" s="2" t="s">
        <v>601</v>
      </c>
      <c r="F96" s="2" t="s">
        <v>617</v>
      </c>
      <c r="G96" s="2">
        <v>0</v>
      </c>
      <c r="H96" s="6">
        <v>0.9</v>
      </c>
      <c r="I96" s="6">
        <v>0.82</v>
      </c>
      <c r="J96" s="6">
        <v>0.05</v>
      </c>
    </row>
    <row r="97" spans="1:10">
      <c r="A97" s="2" t="s">
        <v>450</v>
      </c>
      <c r="B97" s="2" t="s">
        <v>601</v>
      </c>
      <c r="C97" s="2">
        <v>19</v>
      </c>
      <c r="D97" s="2" t="s">
        <v>602</v>
      </c>
      <c r="E97" s="2" t="s">
        <v>601</v>
      </c>
      <c r="F97" s="2" t="s">
        <v>617</v>
      </c>
      <c r="G97" s="2">
        <v>0</v>
      </c>
      <c r="H97" s="6">
        <v>0.9</v>
      </c>
      <c r="I97" s="6">
        <v>0.82</v>
      </c>
      <c r="J97" s="6">
        <v>0.05</v>
      </c>
    </row>
    <row r="98" spans="1:10">
      <c r="A98" s="2" t="s">
        <v>450</v>
      </c>
      <c r="B98" s="2" t="s">
        <v>601</v>
      </c>
      <c r="C98" s="2">
        <v>31</v>
      </c>
      <c r="D98" s="2" t="s">
        <v>602</v>
      </c>
      <c r="E98" s="2" t="s">
        <v>601</v>
      </c>
      <c r="F98" s="2" t="s">
        <v>617</v>
      </c>
      <c r="G98" s="2">
        <v>0</v>
      </c>
      <c r="H98" s="6">
        <v>0.9</v>
      </c>
      <c r="I98" s="6">
        <v>0.82</v>
      </c>
      <c r="J98" s="6">
        <v>0.05</v>
      </c>
    </row>
    <row r="99" spans="1:10">
      <c r="A99" s="2" t="s">
        <v>450</v>
      </c>
      <c r="B99" s="2" t="s">
        <v>221</v>
      </c>
      <c r="C99" s="2">
        <v>9</v>
      </c>
      <c r="D99" s="2" t="s">
        <v>577</v>
      </c>
      <c r="E99" s="2" t="s">
        <v>605</v>
      </c>
      <c r="F99" s="2" t="s">
        <v>617</v>
      </c>
      <c r="G99" s="2">
        <v>0</v>
      </c>
      <c r="H99" s="6">
        <v>0.9</v>
      </c>
      <c r="I99" s="6">
        <v>0.82</v>
      </c>
      <c r="J99" s="6">
        <v>0.5</v>
      </c>
    </row>
    <row r="100" spans="1:10">
      <c r="A100" s="2" t="s">
        <v>371</v>
      </c>
      <c r="B100" s="2" t="s">
        <v>601</v>
      </c>
      <c r="C100" s="2">
        <v>10</v>
      </c>
      <c r="D100" s="2" t="s">
        <v>602</v>
      </c>
      <c r="E100" s="2" t="s">
        <v>601</v>
      </c>
      <c r="F100" s="2" t="s">
        <v>618</v>
      </c>
      <c r="G100" s="2">
        <v>0</v>
      </c>
      <c r="H100" s="6">
        <v>3700</v>
      </c>
      <c r="I100" s="6">
        <v>3932</v>
      </c>
      <c r="J100" s="6">
        <v>0.1</v>
      </c>
    </row>
    <row r="101" spans="1:10">
      <c r="A101" s="2" t="s">
        <v>371</v>
      </c>
      <c r="B101" s="2" t="s">
        <v>601</v>
      </c>
      <c r="C101" s="2">
        <v>20</v>
      </c>
      <c r="D101" s="2" t="s">
        <v>602</v>
      </c>
      <c r="E101" s="2" t="s">
        <v>601</v>
      </c>
      <c r="F101" s="2" t="s">
        <v>618</v>
      </c>
      <c r="G101" s="2">
        <v>0</v>
      </c>
      <c r="H101" s="6">
        <v>3700</v>
      </c>
      <c r="I101" s="6">
        <v>3932</v>
      </c>
      <c r="J101" s="6">
        <v>0.1</v>
      </c>
    </row>
    <row r="102" spans="1:10">
      <c r="A102" s="2" t="s">
        <v>371</v>
      </c>
      <c r="B102" s="2" t="s">
        <v>601</v>
      </c>
      <c r="C102" s="2">
        <v>32</v>
      </c>
      <c r="D102" s="2" t="s">
        <v>602</v>
      </c>
      <c r="E102" s="2" t="s">
        <v>601</v>
      </c>
      <c r="F102" s="2" t="s">
        <v>618</v>
      </c>
      <c r="G102" s="2">
        <v>0</v>
      </c>
      <c r="H102" s="6">
        <v>3700</v>
      </c>
      <c r="I102" s="6">
        <v>3932</v>
      </c>
      <c r="J102" s="6">
        <v>0.1</v>
      </c>
    </row>
    <row r="103" spans="1:10">
      <c r="A103" s="2" t="s">
        <v>371</v>
      </c>
      <c r="B103" s="2" t="s">
        <v>615</v>
      </c>
      <c r="C103" s="2">
        <v>8</v>
      </c>
      <c r="D103" s="2" t="s">
        <v>577</v>
      </c>
      <c r="E103" s="2"/>
      <c r="F103" s="2" t="s">
        <v>618</v>
      </c>
      <c r="G103" s="2"/>
      <c r="H103" s="6">
        <v>3700</v>
      </c>
      <c r="I103" s="6">
        <v>3932</v>
      </c>
      <c r="J103" s="6">
        <v>0.1</v>
      </c>
    </row>
    <row r="104" spans="1:10">
      <c r="A104" s="2" t="s">
        <v>371</v>
      </c>
      <c r="B104" s="2" t="s">
        <v>459</v>
      </c>
      <c r="C104" s="2">
        <v>8</v>
      </c>
      <c r="D104" s="2" t="s">
        <v>577</v>
      </c>
      <c r="E104" s="2" t="s">
        <v>604</v>
      </c>
      <c r="F104" s="2" t="s">
        <v>618</v>
      </c>
      <c r="G104" s="2">
        <v>0</v>
      </c>
      <c r="H104" s="6">
        <v>3700</v>
      </c>
      <c r="I104" s="6">
        <v>3932</v>
      </c>
      <c r="J104" s="6">
        <v>0.05</v>
      </c>
    </row>
    <row r="105" spans="1:10">
      <c r="A105" s="2" t="s">
        <v>371</v>
      </c>
      <c r="B105" s="2" t="s">
        <v>81</v>
      </c>
      <c r="C105" s="2">
        <v>6</v>
      </c>
      <c r="D105" s="2"/>
      <c r="E105" s="2"/>
      <c r="F105" s="2" t="s">
        <v>618</v>
      </c>
      <c r="G105" s="2"/>
      <c r="H105" s="6">
        <v>3700</v>
      </c>
      <c r="I105" s="6">
        <v>3932</v>
      </c>
      <c r="J105" s="6">
        <v>0.1</v>
      </c>
    </row>
    <row r="106" spans="1:10">
      <c r="A106" s="2" t="s">
        <v>371</v>
      </c>
      <c r="B106" s="2" t="s">
        <v>81</v>
      </c>
      <c r="C106" s="2">
        <v>25</v>
      </c>
      <c r="D106" s="2"/>
      <c r="E106" s="2"/>
      <c r="F106" s="2" t="s">
        <v>618</v>
      </c>
      <c r="G106" s="2"/>
      <c r="H106" s="6"/>
      <c r="I106" s="6"/>
      <c r="J106" s="6">
        <v>0.1</v>
      </c>
    </row>
    <row r="107" spans="1:10">
      <c r="A107" s="2" t="s">
        <v>371</v>
      </c>
      <c r="B107" s="2" t="s">
        <v>94</v>
      </c>
      <c r="C107" s="2">
        <v>8</v>
      </c>
      <c r="D107" s="2"/>
      <c r="E107" s="2"/>
      <c r="F107" s="2" t="s">
        <v>618</v>
      </c>
      <c r="G107" s="2"/>
      <c r="H107" s="6">
        <v>3670</v>
      </c>
      <c r="I107" s="6"/>
      <c r="J107" s="6">
        <v>0.1</v>
      </c>
    </row>
    <row r="108" spans="1:10">
      <c r="A108" s="2" t="s">
        <v>277</v>
      </c>
      <c r="B108" s="2" t="s">
        <v>459</v>
      </c>
      <c r="C108" s="2">
        <v>9</v>
      </c>
      <c r="D108" s="2" t="s">
        <v>577</v>
      </c>
      <c r="E108" s="2" t="s">
        <v>604</v>
      </c>
      <c r="F108" s="2" t="s">
        <v>619</v>
      </c>
      <c r="G108" s="2">
        <v>0</v>
      </c>
      <c r="H108" s="6">
        <v>0.1</v>
      </c>
      <c r="I108" s="6">
        <v>0.1</v>
      </c>
      <c r="J108" s="6">
        <v>0.1</v>
      </c>
    </row>
    <row r="109" spans="1:10">
      <c r="A109" s="2" t="s">
        <v>277</v>
      </c>
      <c r="B109" s="2" t="s">
        <v>591</v>
      </c>
      <c r="C109" s="2">
        <v>22</v>
      </c>
      <c r="D109" s="2" t="s">
        <v>592</v>
      </c>
      <c r="E109" s="2" t="s">
        <v>593</v>
      </c>
      <c r="F109" s="2" t="s">
        <v>619</v>
      </c>
      <c r="G109" s="2">
        <v>0</v>
      </c>
      <c r="H109" s="6">
        <v>0.1</v>
      </c>
      <c r="I109" s="6">
        <v>0.1</v>
      </c>
      <c r="J109" s="6">
        <v>0.03</v>
      </c>
    </row>
    <row r="110" spans="1:10">
      <c r="A110" s="2" t="s">
        <v>277</v>
      </c>
      <c r="B110" s="2" t="s">
        <v>594</v>
      </c>
      <c r="C110" s="2">
        <v>22</v>
      </c>
      <c r="D110" s="2" t="s">
        <v>592</v>
      </c>
      <c r="E110" s="2"/>
      <c r="F110" s="2" t="s">
        <v>619</v>
      </c>
      <c r="G110" s="2">
        <v>0</v>
      </c>
      <c r="H110" s="6">
        <v>0.1</v>
      </c>
      <c r="I110" s="6">
        <v>0.1</v>
      </c>
      <c r="J110" s="6">
        <v>0.05</v>
      </c>
    </row>
    <row r="111" spans="1:10">
      <c r="A111" s="2" t="s">
        <v>455</v>
      </c>
      <c r="B111" s="2" t="s">
        <v>459</v>
      </c>
      <c r="C111" s="2">
        <v>10</v>
      </c>
      <c r="D111" s="2" t="s">
        <v>577</v>
      </c>
      <c r="E111" s="2" t="s">
        <v>604</v>
      </c>
      <c r="F111" s="2" t="s">
        <v>620</v>
      </c>
      <c r="G111" s="2">
        <v>0</v>
      </c>
      <c r="H111" s="6">
        <v>4</v>
      </c>
      <c r="I111" s="6">
        <v>6</v>
      </c>
      <c r="J111" s="6">
        <v>0.55000000000000004</v>
      </c>
    </row>
    <row r="112" spans="1:10" ht="28.5">
      <c r="A112" s="2" t="s">
        <v>184</v>
      </c>
      <c r="B112" s="2" t="s">
        <v>221</v>
      </c>
      <c r="C112" s="2">
        <v>8</v>
      </c>
      <c r="D112" s="2" t="s">
        <v>577</v>
      </c>
      <c r="E112" s="2" t="s">
        <v>605</v>
      </c>
      <c r="F112" s="2" t="s">
        <v>621</v>
      </c>
      <c r="G112" s="2" t="s">
        <v>190</v>
      </c>
      <c r="H112" s="6">
        <v>10</v>
      </c>
      <c r="I112" s="6">
        <v>0</v>
      </c>
      <c r="J112" s="6">
        <v>0.1</v>
      </c>
    </row>
    <row r="113" spans="1:10">
      <c r="A113" s="2" t="s">
        <v>184</v>
      </c>
      <c r="B113" s="2" t="s">
        <v>622</v>
      </c>
      <c r="C113" s="2">
        <v>8</v>
      </c>
      <c r="D113" s="2" t="s">
        <v>108</v>
      </c>
      <c r="E113" s="2" t="s">
        <v>622</v>
      </c>
      <c r="F113" s="2" t="s">
        <v>621</v>
      </c>
      <c r="G113" s="2"/>
      <c r="H113" s="6">
        <v>10</v>
      </c>
      <c r="I113" s="6">
        <v>0</v>
      </c>
      <c r="J113" s="6">
        <v>0.2</v>
      </c>
    </row>
    <row r="114" spans="1:10" ht="28.5">
      <c r="A114" s="2" t="s">
        <v>216</v>
      </c>
      <c r="B114" s="2" t="s">
        <v>221</v>
      </c>
      <c r="C114" s="2">
        <v>10</v>
      </c>
      <c r="D114" s="2" t="s">
        <v>577</v>
      </c>
      <c r="E114" s="2" t="s">
        <v>605</v>
      </c>
      <c r="F114" s="2" t="s">
        <v>623</v>
      </c>
      <c r="G114" s="2" t="s">
        <v>222</v>
      </c>
      <c r="H114" s="6">
        <v>8</v>
      </c>
      <c r="I114" s="6">
        <v>4.71</v>
      </c>
      <c r="J114" s="6">
        <v>0.1</v>
      </c>
    </row>
    <row r="115" spans="1:10" ht="28.5">
      <c r="A115" s="2" t="s">
        <v>191</v>
      </c>
      <c r="B115" s="2" t="s">
        <v>168</v>
      </c>
      <c r="C115" s="2">
        <v>6</v>
      </c>
      <c r="D115" s="2" t="s">
        <v>108</v>
      </c>
      <c r="E115" s="2" t="s">
        <v>168</v>
      </c>
      <c r="F115" s="2" t="s">
        <v>624</v>
      </c>
      <c r="G115" s="2" t="s">
        <v>194</v>
      </c>
      <c r="H115" s="6">
        <v>1</v>
      </c>
      <c r="I115" s="6">
        <v>0.42549999999999999</v>
      </c>
      <c r="J115" s="6">
        <v>0.3</v>
      </c>
    </row>
    <row r="116" spans="1:10" ht="28.5">
      <c r="A116" s="2" t="s">
        <v>191</v>
      </c>
      <c r="B116" s="2" t="s">
        <v>622</v>
      </c>
      <c r="C116" s="2">
        <v>6</v>
      </c>
      <c r="D116" s="2" t="s">
        <v>108</v>
      </c>
      <c r="E116" s="2" t="s">
        <v>622</v>
      </c>
      <c r="F116" s="2" t="s">
        <v>624</v>
      </c>
      <c r="G116" s="2" t="s">
        <v>194</v>
      </c>
      <c r="H116" s="6">
        <v>1</v>
      </c>
      <c r="I116" s="6">
        <v>0.42549999999999999</v>
      </c>
      <c r="J116" s="6">
        <v>0.4</v>
      </c>
    </row>
    <row r="117" spans="1:10">
      <c r="A117" s="2" t="s">
        <v>165</v>
      </c>
      <c r="B117" s="2" t="s">
        <v>168</v>
      </c>
      <c r="C117" s="2">
        <v>9</v>
      </c>
      <c r="D117" s="2" t="s">
        <v>108</v>
      </c>
      <c r="E117" s="2" t="s">
        <v>168</v>
      </c>
      <c r="F117" s="2" t="s">
        <v>625</v>
      </c>
      <c r="G117" s="2" t="s">
        <v>82</v>
      </c>
      <c r="H117" s="6">
        <v>0.2</v>
      </c>
      <c r="I117" s="6">
        <v>0</v>
      </c>
      <c r="J117" s="6">
        <v>0.3</v>
      </c>
    </row>
    <row r="118" spans="1:10" ht="28.5">
      <c r="A118" s="2" t="s">
        <v>389</v>
      </c>
      <c r="B118" s="2" t="s">
        <v>622</v>
      </c>
      <c r="C118" s="2">
        <v>9</v>
      </c>
      <c r="D118" s="2" t="s">
        <v>108</v>
      </c>
      <c r="E118" s="2" t="s">
        <v>622</v>
      </c>
      <c r="F118" s="2" t="s">
        <v>626</v>
      </c>
      <c r="G118" s="2" t="s">
        <v>397</v>
      </c>
      <c r="H118" s="6">
        <v>1</v>
      </c>
      <c r="I118" s="6">
        <v>0</v>
      </c>
      <c r="J118" s="6">
        <v>0.3</v>
      </c>
    </row>
    <row r="119" spans="1:10" ht="28.5">
      <c r="A119" s="2" t="s">
        <v>389</v>
      </c>
      <c r="B119" s="2" t="s">
        <v>606</v>
      </c>
      <c r="C119" s="2">
        <v>13</v>
      </c>
      <c r="D119" s="2" t="s">
        <v>607</v>
      </c>
      <c r="E119" s="2" t="s">
        <v>606</v>
      </c>
      <c r="F119" s="2" t="s">
        <v>626</v>
      </c>
      <c r="G119" s="2" t="s">
        <v>397</v>
      </c>
      <c r="H119" s="6">
        <v>1</v>
      </c>
      <c r="I119" s="6">
        <v>0</v>
      </c>
      <c r="J119" s="6">
        <v>0.05</v>
      </c>
    </row>
    <row r="120" spans="1:10" ht="28.5">
      <c r="A120" s="2" t="s">
        <v>389</v>
      </c>
      <c r="B120" s="2" t="s">
        <v>608</v>
      </c>
      <c r="C120" s="2">
        <v>13</v>
      </c>
      <c r="D120" s="2" t="s">
        <v>607</v>
      </c>
      <c r="E120" s="2" t="s">
        <v>606</v>
      </c>
      <c r="F120" s="2" t="s">
        <v>626</v>
      </c>
      <c r="G120" s="2" t="s">
        <v>397</v>
      </c>
      <c r="H120" s="6">
        <v>1</v>
      </c>
      <c r="I120" s="6">
        <v>0</v>
      </c>
      <c r="J120" s="6">
        <v>0.13</v>
      </c>
    </row>
    <row r="121" spans="1:10">
      <c r="A121" s="2" t="s">
        <v>246</v>
      </c>
      <c r="B121" s="2" t="s">
        <v>250</v>
      </c>
      <c r="C121" s="2">
        <v>7</v>
      </c>
      <c r="D121" s="2" t="s">
        <v>249</v>
      </c>
      <c r="E121" s="2"/>
      <c r="F121" s="2" t="s">
        <v>627</v>
      </c>
      <c r="G121" s="2">
        <v>0</v>
      </c>
      <c r="H121" s="6">
        <v>0</v>
      </c>
      <c r="I121" s="6">
        <v>0.14000000000000001</v>
      </c>
      <c r="J121" s="6">
        <v>0.1</v>
      </c>
    </row>
    <row r="122" spans="1:10">
      <c r="A122" s="2" t="s">
        <v>348</v>
      </c>
      <c r="B122" s="2" t="s">
        <v>250</v>
      </c>
      <c r="C122" s="2">
        <v>9</v>
      </c>
      <c r="D122" s="2" t="s">
        <v>249</v>
      </c>
      <c r="E122" s="2"/>
      <c r="F122" s="2" t="s">
        <v>628</v>
      </c>
      <c r="G122" s="2">
        <v>0</v>
      </c>
      <c r="H122" s="6">
        <v>0</v>
      </c>
      <c r="I122" s="6">
        <v>0</v>
      </c>
      <c r="J122" s="6">
        <v>0.1</v>
      </c>
    </row>
    <row r="123" spans="1:10">
      <c r="A123" s="2" t="s">
        <v>384</v>
      </c>
      <c r="B123" s="2" t="s">
        <v>250</v>
      </c>
      <c r="C123" s="2">
        <v>10</v>
      </c>
      <c r="D123" s="2" t="s">
        <v>249</v>
      </c>
      <c r="E123" s="2"/>
      <c r="F123" s="2" t="s">
        <v>629</v>
      </c>
      <c r="G123" s="2" t="s">
        <v>388</v>
      </c>
      <c r="H123" s="6">
        <v>0.2</v>
      </c>
      <c r="I123" s="6">
        <v>0</v>
      </c>
      <c r="J123" s="6">
        <v>0.1</v>
      </c>
    </row>
    <row r="124" spans="1:10">
      <c r="A124" s="2" t="s">
        <v>421</v>
      </c>
      <c r="B124" s="2" t="s">
        <v>250</v>
      </c>
      <c r="C124" s="2">
        <v>11</v>
      </c>
      <c r="D124" s="2" t="s">
        <v>249</v>
      </c>
      <c r="E124" s="2"/>
      <c r="F124" s="2" t="s">
        <v>630</v>
      </c>
      <c r="G124" s="2">
        <v>0</v>
      </c>
      <c r="H124" s="6">
        <v>4000</v>
      </c>
      <c r="I124" s="6">
        <v>4268</v>
      </c>
      <c r="J124" s="6">
        <v>0.1</v>
      </c>
    </row>
    <row r="125" spans="1:10">
      <c r="A125" s="2" t="s">
        <v>421</v>
      </c>
      <c r="B125" s="2" t="s">
        <v>591</v>
      </c>
      <c r="C125" s="2">
        <v>12</v>
      </c>
      <c r="D125" s="2" t="s">
        <v>592</v>
      </c>
      <c r="E125" s="2" t="s">
        <v>593</v>
      </c>
      <c r="F125" s="2" t="s">
        <v>630</v>
      </c>
      <c r="G125" s="2">
        <v>0</v>
      </c>
      <c r="H125" s="6">
        <v>4000</v>
      </c>
      <c r="I125" s="6">
        <v>4268</v>
      </c>
      <c r="J125" s="6">
        <v>0.03</v>
      </c>
    </row>
    <row r="126" spans="1:10">
      <c r="A126" s="2" t="s">
        <v>421</v>
      </c>
      <c r="B126" s="2" t="s">
        <v>594</v>
      </c>
      <c r="C126" s="2">
        <v>12</v>
      </c>
      <c r="D126" s="2" t="s">
        <v>592</v>
      </c>
      <c r="E126" s="2"/>
      <c r="F126" s="2" t="s">
        <v>630</v>
      </c>
      <c r="G126" s="2">
        <v>0</v>
      </c>
      <c r="H126" s="6">
        <v>4000</v>
      </c>
      <c r="I126" s="6">
        <v>4268</v>
      </c>
      <c r="J126" s="6">
        <v>0.04</v>
      </c>
    </row>
    <row r="127" spans="1:10" ht="28.5">
      <c r="A127" s="2" t="s">
        <v>285</v>
      </c>
      <c r="B127" s="2" t="s">
        <v>151</v>
      </c>
      <c r="C127" s="2">
        <v>7</v>
      </c>
      <c r="D127" s="2" t="s">
        <v>149</v>
      </c>
      <c r="E127" s="2"/>
      <c r="F127" s="2" t="s">
        <v>631</v>
      </c>
      <c r="G127" s="2">
        <v>0</v>
      </c>
      <c r="H127" s="6">
        <v>0.1</v>
      </c>
      <c r="I127" s="6">
        <v>0.1</v>
      </c>
      <c r="J127" s="6">
        <v>0.2</v>
      </c>
    </row>
    <row r="128" spans="1:10">
      <c r="A128" s="2" t="s">
        <v>146</v>
      </c>
      <c r="B128" s="2" t="s">
        <v>151</v>
      </c>
      <c r="C128" s="2">
        <v>8</v>
      </c>
      <c r="D128" s="2" t="s">
        <v>149</v>
      </c>
      <c r="E128" s="2"/>
      <c r="F128" s="2" t="s">
        <v>632</v>
      </c>
      <c r="G128" s="2" t="s">
        <v>152</v>
      </c>
      <c r="H128" s="6">
        <v>1</v>
      </c>
      <c r="I128" s="6">
        <v>0</v>
      </c>
      <c r="J128" s="6">
        <v>0.2</v>
      </c>
    </row>
    <row r="129" spans="1:10">
      <c r="A129" s="2" t="s">
        <v>345</v>
      </c>
      <c r="B129" s="2" t="s">
        <v>151</v>
      </c>
      <c r="C129" s="2">
        <v>9</v>
      </c>
      <c r="D129" s="2" t="s">
        <v>149</v>
      </c>
      <c r="E129" s="2"/>
      <c r="F129" s="2" t="s">
        <v>633</v>
      </c>
      <c r="G129" s="2" t="s">
        <v>339</v>
      </c>
      <c r="H129" s="6">
        <v>1</v>
      </c>
      <c r="I129" s="6">
        <v>1</v>
      </c>
      <c r="J129" s="6">
        <v>0.1</v>
      </c>
    </row>
    <row r="130" spans="1:10">
      <c r="A130" s="2" t="s">
        <v>409</v>
      </c>
      <c r="B130" s="2" t="s">
        <v>413</v>
      </c>
      <c r="C130" s="2">
        <v>14</v>
      </c>
      <c r="D130" s="2" t="s">
        <v>149</v>
      </c>
      <c r="E130" s="2"/>
      <c r="F130" s="2" t="s">
        <v>634</v>
      </c>
      <c r="G130" s="2" t="s">
        <v>414</v>
      </c>
      <c r="H130" s="6">
        <v>0</v>
      </c>
      <c r="I130" s="6">
        <v>0</v>
      </c>
      <c r="J130" s="6">
        <v>0.1</v>
      </c>
    </row>
    <row r="131" spans="1:10">
      <c r="A131" s="2" t="s">
        <v>264</v>
      </c>
      <c r="B131" s="2" t="s">
        <v>581</v>
      </c>
      <c r="C131" s="2">
        <v>13</v>
      </c>
      <c r="D131" s="2" t="s">
        <v>149</v>
      </c>
      <c r="E131" s="2"/>
      <c r="F131" s="2" t="s">
        <v>635</v>
      </c>
      <c r="G131" s="2" t="s">
        <v>271</v>
      </c>
      <c r="H131" s="6">
        <v>0.05</v>
      </c>
      <c r="I131" s="6">
        <v>0.09</v>
      </c>
      <c r="J131" s="6">
        <v>0.1</v>
      </c>
    </row>
    <row r="132" spans="1:10">
      <c r="A132" s="2" t="s">
        <v>264</v>
      </c>
      <c r="B132" s="2" t="s">
        <v>606</v>
      </c>
      <c r="C132" s="2">
        <v>16</v>
      </c>
      <c r="D132" s="2" t="s">
        <v>607</v>
      </c>
      <c r="E132" s="2" t="s">
        <v>606</v>
      </c>
      <c r="F132" s="2" t="s">
        <v>635</v>
      </c>
      <c r="G132" s="2" t="s">
        <v>271</v>
      </c>
      <c r="H132" s="6">
        <v>0.05</v>
      </c>
      <c r="I132" s="6">
        <v>0.09</v>
      </c>
      <c r="J132" s="6">
        <v>0.1</v>
      </c>
    </row>
    <row r="133" spans="1:10">
      <c r="A133" s="2" t="s">
        <v>264</v>
      </c>
      <c r="B133" s="2" t="s">
        <v>608</v>
      </c>
      <c r="C133" s="2">
        <v>16</v>
      </c>
      <c r="D133" s="2" t="s">
        <v>607</v>
      </c>
      <c r="E133" s="2" t="s">
        <v>606</v>
      </c>
      <c r="F133" s="2" t="s">
        <v>635</v>
      </c>
      <c r="G133" s="2" t="s">
        <v>271</v>
      </c>
      <c r="H133" s="6">
        <v>0.05</v>
      </c>
      <c r="I133" s="6">
        <v>0.09</v>
      </c>
      <c r="J133" s="6">
        <v>0.13</v>
      </c>
    </row>
    <row r="134" spans="1:10">
      <c r="A134" s="2" t="s">
        <v>264</v>
      </c>
      <c r="B134" s="2" t="s">
        <v>609</v>
      </c>
      <c r="C134" s="2">
        <v>16</v>
      </c>
      <c r="D134" s="2" t="s">
        <v>610</v>
      </c>
      <c r="E134" s="2" t="s">
        <v>611</v>
      </c>
      <c r="F134" s="2" t="s">
        <v>635</v>
      </c>
      <c r="G134" s="2" t="s">
        <v>271</v>
      </c>
      <c r="H134" s="6">
        <v>0.05</v>
      </c>
      <c r="I134" s="6">
        <v>0.09</v>
      </c>
      <c r="J134" s="6">
        <v>0.1</v>
      </c>
    </row>
    <row r="135" spans="1:10">
      <c r="A135" s="2" t="s">
        <v>264</v>
      </c>
      <c r="B135" s="2" t="s">
        <v>612</v>
      </c>
      <c r="C135" s="2">
        <v>16</v>
      </c>
      <c r="D135" s="2" t="s">
        <v>610</v>
      </c>
      <c r="E135" s="2" t="s">
        <v>611</v>
      </c>
      <c r="F135" s="2" t="s">
        <v>635</v>
      </c>
      <c r="G135" s="2" t="s">
        <v>271</v>
      </c>
      <c r="H135" s="6">
        <v>0.05</v>
      </c>
      <c r="I135" s="6">
        <v>0.09</v>
      </c>
      <c r="J135" s="6">
        <v>0.11</v>
      </c>
    </row>
    <row r="136" spans="1:10">
      <c r="A136" s="2" t="s">
        <v>138</v>
      </c>
      <c r="B136" s="2" t="s">
        <v>606</v>
      </c>
      <c r="C136" s="2">
        <v>7</v>
      </c>
      <c r="D136" s="2" t="s">
        <v>607</v>
      </c>
      <c r="E136" s="2" t="s">
        <v>606</v>
      </c>
      <c r="F136" s="2" t="s">
        <v>636</v>
      </c>
      <c r="G136" s="2" t="s">
        <v>145</v>
      </c>
      <c r="H136" s="6">
        <v>0.2</v>
      </c>
      <c r="I136" s="6">
        <v>0</v>
      </c>
      <c r="J136" s="6">
        <v>0.05</v>
      </c>
    </row>
    <row r="137" spans="1:10">
      <c r="A137" s="2" t="s">
        <v>138</v>
      </c>
      <c r="B137" s="2" t="s">
        <v>608</v>
      </c>
      <c r="C137" s="2">
        <v>7</v>
      </c>
      <c r="D137" s="2" t="s">
        <v>607</v>
      </c>
      <c r="E137" s="2" t="s">
        <v>606</v>
      </c>
      <c r="F137" s="2" t="s">
        <v>636</v>
      </c>
      <c r="G137" s="2" t="s">
        <v>145</v>
      </c>
      <c r="H137" s="6">
        <v>0.2</v>
      </c>
      <c r="I137" s="6">
        <v>0</v>
      </c>
      <c r="J137" s="6">
        <v>0.08</v>
      </c>
    </row>
    <row r="138" spans="1:10" ht="28.5">
      <c r="A138" s="2" t="s">
        <v>305</v>
      </c>
      <c r="B138" s="2" t="s">
        <v>606</v>
      </c>
      <c r="C138" s="2">
        <v>8</v>
      </c>
      <c r="D138" s="2" t="s">
        <v>607</v>
      </c>
      <c r="E138" s="2" t="s">
        <v>606</v>
      </c>
      <c r="F138" s="2" t="s">
        <v>637</v>
      </c>
      <c r="G138" s="2">
        <v>0</v>
      </c>
      <c r="H138" s="6">
        <v>0.05</v>
      </c>
      <c r="I138" s="6">
        <v>0</v>
      </c>
      <c r="J138" s="6">
        <v>0.1</v>
      </c>
    </row>
    <row r="139" spans="1:10" ht="28.5">
      <c r="A139" s="2" t="s">
        <v>305</v>
      </c>
      <c r="B139" s="2" t="s">
        <v>608</v>
      </c>
      <c r="C139" s="2">
        <v>8</v>
      </c>
      <c r="D139" s="2" t="s">
        <v>607</v>
      </c>
      <c r="E139" s="2" t="s">
        <v>606</v>
      </c>
      <c r="F139" s="2" t="s">
        <v>637</v>
      </c>
      <c r="G139" s="2">
        <v>0</v>
      </c>
      <c r="H139" s="6">
        <v>0.05</v>
      </c>
      <c r="I139" s="6">
        <v>0</v>
      </c>
      <c r="J139" s="6">
        <v>0.13</v>
      </c>
    </row>
    <row r="140" spans="1:10">
      <c r="A140" s="2" t="s">
        <v>224</v>
      </c>
      <c r="B140" s="2" t="s">
        <v>606</v>
      </c>
      <c r="C140" s="2">
        <v>9</v>
      </c>
      <c r="D140" s="2" t="s">
        <v>607</v>
      </c>
      <c r="E140" s="2" t="s">
        <v>606</v>
      </c>
      <c r="F140" s="2" t="s">
        <v>638</v>
      </c>
      <c r="G140" s="2" t="s">
        <v>230</v>
      </c>
      <c r="H140" s="6">
        <v>0.1</v>
      </c>
      <c r="I140" s="6">
        <v>0</v>
      </c>
      <c r="J140" s="6">
        <v>0.05</v>
      </c>
    </row>
    <row r="141" spans="1:10">
      <c r="A141" s="2" t="s">
        <v>224</v>
      </c>
      <c r="B141" s="2" t="s">
        <v>608</v>
      </c>
      <c r="C141" s="2">
        <v>9</v>
      </c>
      <c r="D141" s="2" t="s">
        <v>607</v>
      </c>
      <c r="E141" s="2" t="s">
        <v>606</v>
      </c>
      <c r="F141" s="2" t="s">
        <v>638</v>
      </c>
      <c r="G141" s="2" t="s">
        <v>230</v>
      </c>
      <c r="H141" s="6">
        <v>0.1</v>
      </c>
      <c r="I141" s="6">
        <v>0</v>
      </c>
      <c r="J141" s="6">
        <v>0.08</v>
      </c>
    </row>
    <row r="142" spans="1:10" ht="28.5">
      <c r="A142" s="2" t="s">
        <v>232</v>
      </c>
      <c r="B142" s="2" t="s">
        <v>606</v>
      </c>
      <c r="C142" s="2">
        <v>10</v>
      </c>
      <c r="D142" s="2" t="s">
        <v>607</v>
      </c>
      <c r="E142" s="2" t="s">
        <v>606</v>
      </c>
      <c r="F142" s="2" t="s">
        <v>639</v>
      </c>
      <c r="G142" s="2" t="s">
        <v>230</v>
      </c>
      <c r="H142" s="6">
        <v>0.1</v>
      </c>
      <c r="I142" s="6">
        <v>0</v>
      </c>
      <c r="J142" s="6">
        <v>0.05</v>
      </c>
    </row>
    <row r="143" spans="1:10" ht="28.5">
      <c r="A143" s="2" t="s">
        <v>232</v>
      </c>
      <c r="B143" s="2" t="s">
        <v>608</v>
      </c>
      <c r="C143" s="2">
        <v>10</v>
      </c>
      <c r="D143" s="2" t="s">
        <v>607</v>
      </c>
      <c r="E143" s="2" t="s">
        <v>606</v>
      </c>
      <c r="F143" s="2" t="s">
        <v>639</v>
      </c>
      <c r="G143" s="2" t="s">
        <v>230</v>
      </c>
      <c r="H143" s="6">
        <v>0.1</v>
      </c>
      <c r="I143" s="6">
        <v>0</v>
      </c>
      <c r="J143" s="6">
        <v>0.05</v>
      </c>
    </row>
    <row r="144" spans="1:10">
      <c r="A144" s="2" t="s">
        <v>251</v>
      </c>
      <c r="B144" s="2" t="s">
        <v>606</v>
      </c>
      <c r="C144" s="2">
        <v>11</v>
      </c>
      <c r="D144" s="2" t="s">
        <v>607</v>
      </c>
      <c r="E144" s="2" t="s">
        <v>606</v>
      </c>
      <c r="F144" s="2" t="s">
        <v>640</v>
      </c>
      <c r="G144" s="2" t="s">
        <v>257</v>
      </c>
      <c r="H144" s="6">
        <v>0.1</v>
      </c>
      <c r="I144" s="6">
        <v>4.66</v>
      </c>
      <c r="J144" s="6">
        <v>0.05</v>
      </c>
    </row>
    <row r="145" spans="1:10">
      <c r="A145" s="2" t="s">
        <v>251</v>
      </c>
      <c r="B145" s="2" t="s">
        <v>608</v>
      </c>
      <c r="C145" s="2">
        <v>11</v>
      </c>
      <c r="D145" s="2" t="s">
        <v>607</v>
      </c>
      <c r="E145" s="2" t="s">
        <v>606</v>
      </c>
      <c r="F145" s="2" t="s">
        <v>640</v>
      </c>
      <c r="G145" s="2" t="s">
        <v>257</v>
      </c>
      <c r="H145" s="6">
        <v>0.1</v>
      </c>
      <c r="I145" s="6">
        <v>4.66</v>
      </c>
      <c r="J145" s="6">
        <v>0.08</v>
      </c>
    </row>
    <row r="146" spans="1:10">
      <c r="A146" s="2" t="s">
        <v>251</v>
      </c>
      <c r="B146" s="2" t="s">
        <v>609</v>
      </c>
      <c r="C146" s="2">
        <v>12</v>
      </c>
      <c r="D146" s="2" t="s">
        <v>610</v>
      </c>
      <c r="E146" s="2" t="s">
        <v>611</v>
      </c>
      <c r="F146" s="2" t="s">
        <v>640</v>
      </c>
      <c r="G146" s="2" t="s">
        <v>257</v>
      </c>
      <c r="H146" s="6">
        <v>0.1</v>
      </c>
      <c r="I146" s="6">
        <v>4.66</v>
      </c>
      <c r="J146" s="6">
        <v>0.05</v>
      </c>
    </row>
    <row r="147" spans="1:10">
      <c r="A147" s="2" t="s">
        <v>251</v>
      </c>
      <c r="B147" s="2" t="s">
        <v>612</v>
      </c>
      <c r="C147" s="2">
        <v>12</v>
      </c>
      <c r="D147" s="2" t="s">
        <v>610</v>
      </c>
      <c r="E147" s="2" t="s">
        <v>611</v>
      </c>
      <c r="F147" s="2" t="s">
        <v>640</v>
      </c>
      <c r="G147" s="2" t="s">
        <v>257</v>
      </c>
      <c r="H147" s="6">
        <v>0.1</v>
      </c>
      <c r="I147" s="6">
        <v>4.66</v>
      </c>
      <c r="J147" s="6">
        <v>0.08</v>
      </c>
    </row>
    <row r="148" spans="1:10" ht="28.5">
      <c r="A148" s="2" t="s">
        <v>477</v>
      </c>
      <c r="B148" s="2" t="s">
        <v>606</v>
      </c>
      <c r="C148" s="2">
        <v>14</v>
      </c>
      <c r="D148" s="2" t="s">
        <v>607</v>
      </c>
      <c r="E148" s="2" t="s">
        <v>606</v>
      </c>
      <c r="F148" s="2" t="s">
        <v>641</v>
      </c>
      <c r="G148" s="2" t="s">
        <v>480</v>
      </c>
      <c r="H148" s="6">
        <v>30</v>
      </c>
      <c r="I148" s="6">
        <v>45</v>
      </c>
      <c r="J148" s="6">
        <v>0.05</v>
      </c>
    </row>
    <row r="149" spans="1:10" ht="28.5">
      <c r="A149" s="2" t="s">
        <v>477</v>
      </c>
      <c r="B149" s="2" t="s">
        <v>608</v>
      </c>
      <c r="C149" s="2">
        <v>14</v>
      </c>
      <c r="D149" s="2" t="s">
        <v>607</v>
      </c>
      <c r="E149" s="2" t="s">
        <v>606</v>
      </c>
      <c r="F149" s="2" t="s">
        <v>641</v>
      </c>
      <c r="G149" s="2" t="s">
        <v>480</v>
      </c>
      <c r="H149" s="6">
        <v>30</v>
      </c>
      <c r="I149" s="6">
        <v>45</v>
      </c>
      <c r="J149" s="6">
        <v>0.08</v>
      </c>
    </row>
    <row r="150" spans="1:10">
      <c r="A150" s="2" t="s">
        <v>486</v>
      </c>
      <c r="B150" s="2" t="s">
        <v>606</v>
      </c>
      <c r="C150" s="2">
        <v>15</v>
      </c>
      <c r="D150" s="2" t="s">
        <v>607</v>
      </c>
      <c r="E150" s="2" t="s">
        <v>606</v>
      </c>
      <c r="F150" s="2" t="s">
        <v>642</v>
      </c>
      <c r="G150" s="2" t="s">
        <v>489</v>
      </c>
      <c r="H150" s="6">
        <v>1</v>
      </c>
      <c r="I150" s="6">
        <v>44</v>
      </c>
      <c r="J150" s="6">
        <v>0.05</v>
      </c>
    </row>
    <row r="151" spans="1:10">
      <c r="A151" s="2" t="s">
        <v>486</v>
      </c>
      <c r="B151" s="2" t="s">
        <v>608</v>
      </c>
      <c r="C151" s="2">
        <v>15</v>
      </c>
      <c r="D151" s="2" t="s">
        <v>607</v>
      </c>
      <c r="E151" s="2" t="s">
        <v>606</v>
      </c>
      <c r="F151" s="2" t="s">
        <v>642</v>
      </c>
      <c r="G151" s="2" t="s">
        <v>489</v>
      </c>
      <c r="H151" s="6">
        <v>1</v>
      </c>
      <c r="I151" s="6">
        <v>44</v>
      </c>
      <c r="J151" s="6">
        <v>0.06</v>
      </c>
    </row>
    <row r="152" spans="1:10">
      <c r="A152" s="2" t="s">
        <v>486</v>
      </c>
      <c r="B152" s="2" t="s">
        <v>609</v>
      </c>
      <c r="C152" s="2">
        <v>15</v>
      </c>
      <c r="D152" s="2" t="s">
        <v>610</v>
      </c>
      <c r="E152" s="2" t="s">
        <v>611</v>
      </c>
      <c r="F152" s="2" t="s">
        <v>642</v>
      </c>
      <c r="G152" s="2" t="s">
        <v>489</v>
      </c>
      <c r="H152" s="6">
        <v>1</v>
      </c>
      <c r="I152" s="6">
        <v>44</v>
      </c>
      <c r="J152" s="6">
        <v>0.05</v>
      </c>
    </row>
    <row r="153" spans="1:10">
      <c r="A153" s="2" t="s">
        <v>486</v>
      </c>
      <c r="B153" s="2" t="s">
        <v>612</v>
      </c>
      <c r="C153" s="2">
        <v>15</v>
      </c>
      <c r="D153" s="2" t="s">
        <v>610</v>
      </c>
      <c r="E153" s="2" t="s">
        <v>611</v>
      </c>
      <c r="F153" s="2" t="s">
        <v>642</v>
      </c>
      <c r="G153" s="2" t="s">
        <v>489</v>
      </c>
      <c r="H153" s="6">
        <v>1</v>
      </c>
      <c r="I153" s="6">
        <v>44</v>
      </c>
      <c r="J153" s="6">
        <v>0.08</v>
      </c>
    </row>
    <row r="154" spans="1:10" ht="28.5">
      <c r="A154" s="2" t="s">
        <v>128</v>
      </c>
      <c r="B154" s="2" t="s">
        <v>609</v>
      </c>
      <c r="C154" s="2">
        <v>7</v>
      </c>
      <c r="D154" s="2" t="s">
        <v>610</v>
      </c>
      <c r="E154" s="2" t="s">
        <v>611</v>
      </c>
      <c r="F154" s="2" t="s">
        <v>643</v>
      </c>
      <c r="G154" s="2">
        <v>0</v>
      </c>
      <c r="H154" s="6">
        <v>0.2</v>
      </c>
      <c r="I154" s="6">
        <v>0.3</v>
      </c>
      <c r="J154" s="6">
        <v>0.1</v>
      </c>
    </row>
    <row r="155" spans="1:10" ht="28.5">
      <c r="A155" s="2" t="s">
        <v>128</v>
      </c>
      <c r="B155" s="2" t="s">
        <v>612</v>
      </c>
      <c r="C155" s="2">
        <v>7</v>
      </c>
      <c r="D155" s="2" t="s">
        <v>610</v>
      </c>
      <c r="E155" s="2" t="s">
        <v>611</v>
      </c>
      <c r="F155" s="2" t="s">
        <v>643</v>
      </c>
      <c r="G155" s="2">
        <v>0</v>
      </c>
      <c r="H155" s="6">
        <v>0.2</v>
      </c>
      <c r="I155" s="6">
        <v>0.3</v>
      </c>
      <c r="J155" s="6">
        <v>0.11</v>
      </c>
    </row>
    <row r="156" spans="1:10">
      <c r="A156" s="2" t="s">
        <v>210</v>
      </c>
      <c r="B156" s="2" t="s">
        <v>609</v>
      </c>
      <c r="C156" s="2">
        <v>8</v>
      </c>
      <c r="D156" s="2" t="s">
        <v>610</v>
      </c>
      <c r="E156" s="2" t="s">
        <v>611</v>
      </c>
      <c r="F156" s="2" t="s">
        <v>644</v>
      </c>
      <c r="G156" s="2">
        <v>0</v>
      </c>
      <c r="H156" s="6">
        <v>0.1</v>
      </c>
      <c r="I156" s="6">
        <v>0</v>
      </c>
      <c r="J156" s="6">
        <v>0.1</v>
      </c>
    </row>
    <row r="157" spans="1:10">
      <c r="A157" s="2" t="s">
        <v>210</v>
      </c>
      <c r="B157" s="2" t="s">
        <v>612</v>
      </c>
      <c r="C157" s="2">
        <v>8</v>
      </c>
      <c r="D157" s="2" t="s">
        <v>610</v>
      </c>
      <c r="E157" s="2" t="s">
        <v>611</v>
      </c>
      <c r="F157" s="2" t="s">
        <v>644</v>
      </c>
      <c r="G157" s="2">
        <v>0</v>
      </c>
      <c r="H157" s="6">
        <v>0.1</v>
      </c>
      <c r="I157" s="6">
        <v>0</v>
      </c>
      <c r="J157" s="6">
        <v>0.12</v>
      </c>
    </row>
    <row r="158" spans="1:10" ht="28.5">
      <c r="A158" s="2" t="s">
        <v>235</v>
      </c>
      <c r="B158" s="2" t="s">
        <v>609</v>
      </c>
      <c r="C158" s="2">
        <v>9</v>
      </c>
      <c r="D158" s="2" t="s">
        <v>610</v>
      </c>
      <c r="E158" s="2" t="s">
        <v>611</v>
      </c>
      <c r="F158" s="2" t="s">
        <v>645</v>
      </c>
      <c r="G158" s="2">
        <v>0</v>
      </c>
      <c r="H158" s="6">
        <v>0</v>
      </c>
      <c r="I158" s="6">
        <v>0</v>
      </c>
      <c r="J158" s="6">
        <v>0.05</v>
      </c>
    </row>
    <row r="159" spans="1:10" ht="28.5">
      <c r="A159" s="2" t="s">
        <v>235</v>
      </c>
      <c r="B159" s="2" t="s">
        <v>612</v>
      </c>
      <c r="C159" s="2">
        <v>9</v>
      </c>
      <c r="D159" s="2" t="s">
        <v>610</v>
      </c>
      <c r="E159" s="2" t="s">
        <v>611</v>
      </c>
      <c r="F159" s="2" t="s">
        <v>645</v>
      </c>
      <c r="G159" s="2">
        <v>0</v>
      </c>
      <c r="H159" s="6">
        <v>0</v>
      </c>
      <c r="I159" s="6">
        <v>0</v>
      </c>
      <c r="J159" s="6">
        <v>0.08</v>
      </c>
    </row>
    <row r="160" spans="1:10" ht="28.5">
      <c r="A160" s="2" t="s">
        <v>406</v>
      </c>
      <c r="B160" s="2" t="s">
        <v>609</v>
      </c>
      <c r="C160" s="2">
        <v>10</v>
      </c>
      <c r="D160" s="2" t="s">
        <v>610</v>
      </c>
      <c r="E160" s="2" t="s">
        <v>611</v>
      </c>
      <c r="F160" s="2" t="s">
        <v>646</v>
      </c>
      <c r="G160" s="2">
        <v>0</v>
      </c>
      <c r="H160" s="6">
        <v>0</v>
      </c>
      <c r="I160" s="6">
        <v>0</v>
      </c>
      <c r="J160" s="6">
        <v>0.05</v>
      </c>
    </row>
    <row r="161" spans="1:10" ht="28.5">
      <c r="A161" s="2" t="s">
        <v>406</v>
      </c>
      <c r="B161" s="2" t="s">
        <v>612</v>
      </c>
      <c r="C161" s="2">
        <v>10</v>
      </c>
      <c r="D161" s="2" t="s">
        <v>610</v>
      </c>
      <c r="E161" s="2" t="s">
        <v>611</v>
      </c>
      <c r="F161" s="2" t="s">
        <v>646</v>
      </c>
      <c r="G161" s="2">
        <v>0</v>
      </c>
      <c r="H161" s="6">
        <v>0</v>
      </c>
      <c r="I161" s="6">
        <v>0</v>
      </c>
      <c r="J161" s="6">
        <v>0.08</v>
      </c>
    </row>
    <row r="162" spans="1:10" ht="28.5">
      <c r="A162" s="2" t="s">
        <v>240</v>
      </c>
      <c r="B162" s="2" t="s">
        <v>609</v>
      </c>
      <c r="C162" s="2">
        <v>11</v>
      </c>
      <c r="D162" s="2" t="s">
        <v>610</v>
      </c>
      <c r="E162" s="2" t="s">
        <v>611</v>
      </c>
      <c r="F162" s="2" t="s">
        <v>647</v>
      </c>
      <c r="G162" s="2">
        <v>0</v>
      </c>
      <c r="H162" s="6">
        <v>0</v>
      </c>
      <c r="I162" s="6">
        <v>0</v>
      </c>
      <c r="J162" s="6">
        <v>0.05</v>
      </c>
    </row>
    <row r="163" spans="1:10" ht="28.5">
      <c r="A163" s="2" t="s">
        <v>240</v>
      </c>
      <c r="B163" s="2" t="s">
        <v>612</v>
      </c>
      <c r="C163" s="2">
        <v>11</v>
      </c>
      <c r="D163" s="2" t="s">
        <v>610</v>
      </c>
      <c r="E163" s="2" t="s">
        <v>611</v>
      </c>
      <c r="F163" s="2" t="s">
        <v>647</v>
      </c>
      <c r="G163" s="2">
        <v>0</v>
      </c>
      <c r="H163" s="6">
        <v>0</v>
      </c>
      <c r="I163" s="6">
        <v>0</v>
      </c>
      <c r="J163" s="6">
        <v>0.08</v>
      </c>
    </row>
    <row r="164" spans="1:10" ht="28.5">
      <c r="A164" s="2" t="s">
        <v>483</v>
      </c>
      <c r="B164" s="2" t="s">
        <v>609</v>
      </c>
      <c r="C164" s="2">
        <v>14</v>
      </c>
      <c r="D164" s="2" t="s">
        <v>610</v>
      </c>
      <c r="E164" s="2" t="s">
        <v>611</v>
      </c>
      <c r="F164" s="2" t="s">
        <v>648</v>
      </c>
      <c r="G164" s="2" t="s">
        <v>480</v>
      </c>
      <c r="H164" s="6">
        <v>6</v>
      </c>
      <c r="I164" s="6">
        <v>7</v>
      </c>
      <c r="J164" s="6">
        <v>0.05</v>
      </c>
    </row>
    <row r="165" spans="1:10" ht="28.5">
      <c r="A165" s="2" t="s">
        <v>483</v>
      </c>
      <c r="B165" s="2" t="s">
        <v>612</v>
      </c>
      <c r="C165" s="2">
        <v>14</v>
      </c>
      <c r="D165" s="2" t="s">
        <v>610</v>
      </c>
      <c r="E165" s="2" t="s">
        <v>611</v>
      </c>
      <c r="F165" s="2" t="s">
        <v>648</v>
      </c>
      <c r="G165" s="2" t="s">
        <v>480</v>
      </c>
      <c r="H165" s="6">
        <v>6</v>
      </c>
      <c r="I165" s="6">
        <v>7</v>
      </c>
      <c r="J165" s="6">
        <v>0.08</v>
      </c>
    </row>
    <row r="166" spans="1:10">
      <c r="A166" s="2" t="s">
        <v>174</v>
      </c>
      <c r="B166" s="2" t="s">
        <v>119</v>
      </c>
      <c r="C166" s="2">
        <v>7</v>
      </c>
      <c r="D166" s="2" t="s">
        <v>119</v>
      </c>
      <c r="E166" s="2" t="s">
        <v>584</v>
      </c>
      <c r="F166" s="2" t="s">
        <v>649</v>
      </c>
      <c r="G166" s="2" t="s">
        <v>178</v>
      </c>
      <c r="H166" s="6">
        <v>100000</v>
      </c>
      <c r="I166" s="6">
        <v>112588</v>
      </c>
      <c r="J166" s="6">
        <v>0.3</v>
      </c>
    </row>
    <row r="167" spans="1:10">
      <c r="A167" s="2" t="s">
        <v>174</v>
      </c>
      <c r="B167" s="2" t="s">
        <v>585</v>
      </c>
      <c r="C167" s="2">
        <v>7</v>
      </c>
      <c r="D167" s="2" t="s">
        <v>119</v>
      </c>
      <c r="E167" s="2" t="s">
        <v>584</v>
      </c>
      <c r="F167" s="2" t="s">
        <v>649</v>
      </c>
      <c r="G167" s="2" t="s">
        <v>178</v>
      </c>
      <c r="H167" s="6">
        <v>100000</v>
      </c>
      <c r="I167" s="6">
        <v>112588</v>
      </c>
      <c r="J167" s="6">
        <v>0.25</v>
      </c>
    </row>
    <row r="168" spans="1:10" ht="28.5">
      <c r="A168" s="2" t="s">
        <v>116</v>
      </c>
      <c r="B168" s="2" t="s">
        <v>119</v>
      </c>
      <c r="C168" s="2">
        <v>8</v>
      </c>
      <c r="D168" s="2" t="s">
        <v>119</v>
      </c>
      <c r="E168" s="2" t="s">
        <v>584</v>
      </c>
      <c r="F168" s="2" t="s">
        <v>650</v>
      </c>
      <c r="G168" s="2" t="s">
        <v>95</v>
      </c>
      <c r="H168" s="6">
        <v>25000</v>
      </c>
      <c r="I168" s="6">
        <v>20092.400000000001</v>
      </c>
      <c r="J168" s="6">
        <v>0.2</v>
      </c>
    </row>
    <row r="169" spans="1:10" ht="28.5">
      <c r="A169" s="2" t="s">
        <v>116</v>
      </c>
      <c r="B169" s="2" t="s">
        <v>585</v>
      </c>
      <c r="C169" s="2">
        <v>8</v>
      </c>
      <c r="D169" s="2" t="s">
        <v>119</v>
      </c>
      <c r="E169" s="2" t="s">
        <v>584</v>
      </c>
      <c r="F169" s="2" t="s">
        <v>650</v>
      </c>
      <c r="G169" s="2" t="s">
        <v>95</v>
      </c>
      <c r="H169" s="6">
        <v>25000</v>
      </c>
      <c r="I169" s="6">
        <v>20092.400000000001</v>
      </c>
      <c r="J169" s="6">
        <v>0.15</v>
      </c>
    </row>
    <row r="170" spans="1:10">
      <c r="A170" s="2" t="s">
        <v>260</v>
      </c>
      <c r="B170" s="2" t="s">
        <v>119</v>
      </c>
      <c r="C170" s="2">
        <v>10</v>
      </c>
      <c r="D170" s="2" t="s">
        <v>119</v>
      </c>
      <c r="E170" s="2" t="s">
        <v>584</v>
      </c>
      <c r="F170" s="2" t="s">
        <v>651</v>
      </c>
      <c r="G170" s="2" t="s">
        <v>257</v>
      </c>
      <c r="H170" s="6">
        <v>0.03</v>
      </c>
      <c r="I170" s="6">
        <v>7.0000000000000007E-2</v>
      </c>
      <c r="J170" s="6">
        <v>0.12</v>
      </c>
    </row>
    <row r="171" spans="1:10">
      <c r="A171" s="2" t="s">
        <v>260</v>
      </c>
      <c r="B171" s="2" t="s">
        <v>585</v>
      </c>
      <c r="C171" s="2">
        <v>10</v>
      </c>
      <c r="D171" s="2" t="s">
        <v>119</v>
      </c>
      <c r="E171" s="2" t="s">
        <v>584</v>
      </c>
      <c r="F171" s="2" t="s">
        <v>651</v>
      </c>
      <c r="G171" s="2" t="s">
        <v>257</v>
      </c>
      <c r="H171" s="6">
        <v>0.03</v>
      </c>
      <c r="I171" s="6">
        <v>7.0000000000000007E-2</v>
      </c>
      <c r="J171" s="6">
        <v>0.1</v>
      </c>
    </row>
    <row r="172" spans="1:10">
      <c r="A172" s="2" t="s">
        <v>283</v>
      </c>
      <c r="B172" s="2" t="s">
        <v>119</v>
      </c>
      <c r="C172" s="2">
        <v>11</v>
      </c>
      <c r="D172" s="2" t="s">
        <v>119</v>
      </c>
      <c r="E172" s="2" t="s">
        <v>584</v>
      </c>
      <c r="F172" s="2" t="s">
        <v>652</v>
      </c>
      <c r="G172" s="2" t="s">
        <v>257</v>
      </c>
      <c r="H172" s="6">
        <v>0.1</v>
      </c>
      <c r="I172" s="6">
        <v>0.06</v>
      </c>
      <c r="J172" s="6">
        <v>0.12</v>
      </c>
    </row>
    <row r="173" spans="1:10">
      <c r="A173" s="2" t="s">
        <v>283</v>
      </c>
      <c r="B173" s="2" t="s">
        <v>585</v>
      </c>
      <c r="C173" s="2">
        <v>11</v>
      </c>
      <c r="D173" s="2" t="s">
        <v>119</v>
      </c>
      <c r="E173" s="2" t="s">
        <v>584</v>
      </c>
      <c r="F173" s="2" t="s">
        <v>652</v>
      </c>
      <c r="G173" s="2" t="s">
        <v>257</v>
      </c>
      <c r="H173" s="6">
        <v>0.1</v>
      </c>
      <c r="I173" s="6">
        <v>0.06</v>
      </c>
      <c r="J173" s="6">
        <v>0.1</v>
      </c>
    </row>
    <row r="174" spans="1:10">
      <c r="A174" s="2" t="s">
        <v>273</v>
      </c>
      <c r="B174" s="2" t="s">
        <v>119</v>
      </c>
      <c r="C174" s="2">
        <v>12</v>
      </c>
      <c r="D174" s="2" t="s">
        <v>119</v>
      </c>
      <c r="E174" s="2" t="s">
        <v>584</v>
      </c>
      <c r="F174" s="2" t="s">
        <v>653</v>
      </c>
      <c r="G174" s="2">
        <v>0</v>
      </c>
      <c r="H174" s="6">
        <v>0.1</v>
      </c>
      <c r="I174" s="6">
        <v>0</v>
      </c>
      <c r="J174" s="6">
        <v>0.11</v>
      </c>
    </row>
    <row r="175" spans="1:10">
      <c r="A175" s="2" t="s">
        <v>273</v>
      </c>
      <c r="B175" s="2" t="s">
        <v>585</v>
      </c>
      <c r="C175" s="2">
        <v>12</v>
      </c>
      <c r="D175" s="2" t="s">
        <v>119</v>
      </c>
      <c r="E175" s="2" t="s">
        <v>584</v>
      </c>
      <c r="F175" s="2" t="s">
        <v>653</v>
      </c>
      <c r="G175" s="2">
        <v>0</v>
      </c>
      <c r="H175" s="6">
        <v>0.1</v>
      </c>
      <c r="I175" s="6">
        <v>0</v>
      </c>
      <c r="J175" s="6">
        <v>0.1</v>
      </c>
    </row>
    <row r="176" spans="1:10">
      <c r="A176" s="2" t="s">
        <v>358</v>
      </c>
      <c r="B176" s="2" t="s">
        <v>591</v>
      </c>
      <c r="C176" s="2">
        <v>7</v>
      </c>
      <c r="D176" s="2" t="s">
        <v>592</v>
      </c>
      <c r="E176" s="2" t="s">
        <v>593</v>
      </c>
      <c r="F176" s="2" t="s">
        <v>654</v>
      </c>
      <c r="G176" s="2">
        <v>0</v>
      </c>
      <c r="H176" s="6">
        <v>0.995</v>
      </c>
      <c r="I176" s="6">
        <v>1</v>
      </c>
      <c r="J176" s="6">
        <v>0.1</v>
      </c>
    </row>
    <row r="177" spans="1:10">
      <c r="A177" s="2" t="s">
        <v>358</v>
      </c>
      <c r="B177" s="2" t="s">
        <v>594</v>
      </c>
      <c r="C177" s="2">
        <v>7</v>
      </c>
      <c r="D177" s="2" t="s">
        <v>592</v>
      </c>
      <c r="E177" s="2"/>
      <c r="F177" s="2" t="s">
        <v>654</v>
      </c>
      <c r="G177" s="2">
        <v>0</v>
      </c>
      <c r="H177" s="6">
        <v>0.995</v>
      </c>
      <c r="I177" s="6">
        <v>1</v>
      </c>
      <c r="J177" s="6">
        <v>0.11</v>
      </c>
    </row>
    <row r="178" spans="1:10">
      <c r="A178" s="2" t="s">
        <v>398</v>
      </c>
      <c r="B178" s="2" t="s">
        <v>591</v>
      </c>
      <c r="C178" s="2">
        <v>8</v>
      </c>
      <c r="D178" s="2" t="s">
        <v>592</v>
      </c>
      <c r="E178" s="2" t="s">
        <v>593</v>
      </c>
      <c r="F178" s="2" t="s">
        <v>655</v>
      </c>
      <c r="G178" s="2" t="s">
        <v>401</v>
      </c>
      <c r="H178" s="6">
        <v>0.2</v>
      </c>
      <c r="I178" s="6">
        <v>0</v>
      </c>
      <c r="J178" s="6">
        <v>0.05</v>
      </c>
    </row>
    <row r="179" spans="1:10">
      <c r="A179" s="2" t="s">
        <v>398</v>
      </c>
      <c r="B179" s="2" t="s">
        <v>594</v>
      </c>
      <c r="C179" s="2">
        <v>8</v>
      </c>
      <c r="D179" s="2" t="s">
        <v>592</v>
      </c>
      <c r="E179" s="2"/>
      <c r="F179" s="2" t="s">
        <v>655</v>
      </c>
      <c r="G179" s="2" t="s">
        <v>401</v>
      </c>
      <c r="H179" s="6">
        <v>0.2</v>
      </c>
      <c r="I179" s="6">
        <v>0</v>
      </c>
      <c r="J179" s="6">
        <v>0.06</v>
      </c>
    </row>
    <row r="180" spans="1:10">
      <c r="A180" s="2" t="s">
        <v>379</v>
      </c>
      <c r="B180" s="2" t="s">
        <v>591</v>
      </c>
      <c r="C180" s="2">
        <v>10</v>
      </c>
      <c r="D180" s="2" t="s">
        <v>592</v>
      </c>
      <c r="E180" s="2" t="s">
        <v>593</v>
      </c>
      <c r="F180" s="2" t="s">
        <v>656</v>
      </c>
      <c r="G180" s="2">
        <v>0</v>
      </c>
      <c r="H180" s="6">
        <v>3700</v>
      </c>
      <c r="I180" s="6">
        <v>3932</v>
      </c>
      <c r="J180" s="6">
        <v>0.05</v>
      </c>
    </row>
    <row r="181" spans="1:10">
      <c r="A181" s="2" t="s">
        <v>379</v>
      </c>
      <c r="B181" s="2" t="s">
        <v>594</v>
      </c>
      <c r="C181" s="2">
        <v>10</v>
      </c>
      <c r="D181" s="2" t="s">
        <v>592</v>
      </c>
      <c r="E181" s="2"/>
      <c r="F181" s="2" t="s">
        <v>656</v>
      </c>
      <c r="G181" s="2">
        <v>0</v>
      </c>
      <c r="H181" s="6">
        <v>3700</v>
      </c>
      <c r="I181" s="6">
        <v>3932</v>
      </c>
      <c r="J181" s="6">
        <v>0.06</v>
      </c>
    </row>
    <row r="182" spans="1:10">
      <c r="A182" s="2" t="s">
        <v>427</v>
      </c>
      <c r="B182" s="2" t="s">
        <v>591</v>
      </c>
      <c r="C182" s="2">
        <v>13</v>
      </c>
      <c r="D182" s="2" t="s">
        <v>592</v>
      </c>
      <c r="E182" s="2" t="s">
        <v>593</v>
      </c>
      <c r="F182" s="2" t="s">
        <v>657</v>
      </c>
      <c r="G182" s="2">
        <v>0</v>
      </c>
      <c r="H182" s="6">
        <v>3800</v>
      </c>
      <c r="I182" s="6">
        <v>3501</v>
      </c>
      <c r="J182" s="6">
        <v>0.03</v>
      </c>
    </row>
    <row r="183" spans="1:10">
      <c r="A183" s="2" t="s">
        <v>427</v>
      </c>
      <c r="B183" s="2" t="s">
        <v>594</v>
      </c>
      <c r="C183" s="2">
        <v>13</v>
      </c>
      <c r="D183" s="2" t="s">
        <v>592</v>
      </c>
      <c r="E183" s="2"/>
      <c r="F183" s="2" t="s">
        <v>657</v>
      </c>
      <c r="G183" s="2">
        <v>0</v>
      </c>
      <c r="H183" s="6">
        <v>3800</v>
      </c>
      <c r="I183" s="6">
        <v>3501</v>
      </c>
      <c r="J183" s="6">
        <v>0.04</v>
      </c>
    </row>
    <row r="184" spans="1:10">
      <c r="A184" s="2" t="s">
        <v>431</v>
      </c>
      <c r="B184" s="2" t="s">
        <v>591</v>
      </c>
      <c r="C184" s="2">
        <v>14</v>
      </c>
      <c r="D184" s="2" t="s">
        <v>592</v>
      </c>
      <c r="E184" s="2" t="s">
        <v>593</v>
      </c>
      <c r="F184" s="2" t="s">
        <v>658</v>
      </c>
      <c r="G184" s="2">
        <v>0</v>
      </c>
      <c r="H184" s="6">
        <v>3500</v>
      </c>
      <c r="I184" s="6">
        <v>2144</v>
      </c>
      <c r="J184" s="6">
        <v>0.02</v>
      </c>
    </row>
    <row r="185" spans="1:10">
      <c r="A185" s="2" t="s">
        <v>431</v>
      </c>
      <c r="B185" s="2" t="s">
        <v>594</v>
      </c>
      <c r="C185" s="2">
        <v>14</v>
      </c>
      <c r="D185" s="2" t="s">
        <v>592</v>
      </c>
      <c r="E185" s="2"/>
      <c r="F185" s="2" t="s">
        <v>658</v>
      </c>
      <c r="G185" s="2">
        <v>0</v>
      </c>
      <c r="H185" s="6">
        <v>3500</v>
      </c>
      <c r="I185" s="6">
        <v>2144</v>
      </c>
      <c r="J185" s="6">
        <v>0.03</v>
      </c>
    </row>
    <row r="186" spans="1:10">
      <c r="A186" s="2" t="s">
        <v>435</v>
      </c>
      <c r="B186" s="2" t="s">
        <v>591</v>
      </c>
      <c r="C186" s="2">
        <v>15</v>
      </c>
      <c r="D186" s="2" t="s">
        <v>592</v>
      </c>
      <c r="E186" s="2" t="s">
        <v>593</v>
      </c>
      <c r="F186" s="2" t="s">
        <v>659</v>
      </c>
      <c r="G186" s="2">
        <v>0</v>
      </c>
      <c r="H186" s="6">
        <v>3500</v>
      </c>
      <c r="I186" s="6">
        <v>2560</v>
      </c>
      <c r="J186" s="6">
        <v>0.02</v>
      </c>
    </row>
    <row r="187" spans="1:10">
      <c r="A187" s="2" t="s">
        <v>435</v>
      </c>
      <c r="B187" s="2" t="s">
        <v>594</v>
      </c>
      <c r="C187" s="2">
        <v>15</v>
      </c>
      <c r="D187" s="2" t="s">
        <v>592</v>
      </c>
      <c r="E187" s="2"/>
      <c r="F187" s="2" t="s">
        <v>659</v>
      </c>
      <c r="G187" s="2">
        <v>0</v>
      </c>
      <c r="H187" s="6">
        <v>3500</v>
      </c>
      <c r="I187" s="6">
        <v>2560</v>
      </c>
      <c r="J187" s="6">
        <v>0.03</v>
      </c>
    </row>
    <row r="188" spans="1:10">
      <c r="A188" s="2" t="s">
        <v>441</v>
      </c>
      <c r="B188" s="2" t="s">
        <v>591</v>
      </c>
      <c r="C188" s="2">
        <v>16</v>
      </c>
      <c r="D188" s="2" t="s">
        <v>592</v>
      </c>
      <c r="E188" s="2" t="s">
        <v>593</v>
      </c>
      <c r="F188" s="2" t="s">
        <v>660</v>
      </c>
      <c r="G188" s="2">
        <v>0</v>
      </c>
      <c r="H188" s="6">
        <v>3500</v>
      </c>
      <c r="I188" s="6">
        <v>3165</v>
      </c>
      <c r="J188" s="6">
        <v>0.02</v>
      </c>
    </row>
    <row r="189" spans="1:10">
      <c r="A189" s="2" t="s">
        <v>441</v>
      </c>
      <c r="B189" s="2" t="s">
        <v>594</v>
      </c>
      <c r="C189" s="2">
        <v>16</v>
      </c>
      <c r="D189" s="2" t="s">
        <v>592</v>
      </c>
      <c r="E189" s="2"/>
      <c r="F189" s="2" t="s">
        <v>660</v>
      </c>
      <c r="G189" s="2">
        <v>0</v>
      </c>
      <c r="H189" s="6">
        <v>3500</v>
      </c>
      <c r="I189" s="6">
        <v>3165</v>
      </c>
      <c r="J189" s="6">
        <v>0.03</v>
      </c>
    </row>
    <row r="190" spans="1:10">
      <c r="A190" s="2" t="s">
        <v>438</v>
      </c>
      <c r="B190" s="2" t="s">
        <v>591</v>
      </c>
      <c r="C190" s="2">
        <v>17</v>
      </c>
      <c r="D190" s="2" t="s">
        <v>592</v>
      </c>
      <c r="E190" s="2" t="s">
        <v>593</v>
      </c>
      <c r="F190" s="2" t="s">
        <v>661</v>
      </c>
      <c r="G190" s="2">
        <v>0</v>
      </c>
      <c r="H190" s="6">
        <v>3500</v>
      </c>
      <c r="I190" s="6">
        <v>2923</v>
      </c>
      <c r="J190" s="6">
        <v>0.02</v>
      </c>
    </row>
    <row r="191" spans="1:10">
      <c r="A191" s="2" t="s">
        <v>438</v>
      </c>
      <c r="B191" s="2" t="s">
        <v>594</v>
      </c>
      <c r="C191" s="2">
        <v>17</v>
      </c>
      <c r="D191" s="2" t="s">
        <v>592</v>
      </c>
      <c r="E191" s="2"/>
      <c r="F191" s="2" t="s">
        <v>661</v>
      </c>
      <c r="G191" s="2">
        <v>0</v>
      </c>
      <c r="H191" s="6">
        <v>3500</v>
      </c>
      <c r="I191" s="6">
        <v>2923</v>
      </c>
      <c r="J191" s="6">
        <v>0.03</v>
      </c>
    </row>
    <row r="192" spans="1:10">
      <c r="A192" s="2" t="s">
        <v>444</v>
      </c>
      <c r="B192" s="2" t="s">
        <v>591</v>
      </c>
      <c r="C192" s="2">
        <v>18</v>
      </c>
      <c r="D192" s="2" t="s">
        <v>592</v>
      </c>
      <c r="E192" s="2" t="s">
        <v>593</v>
      </c>
      <c r="F192" s="2" t="s">
        <v>662</v>
      </c>
      <c r="G192" s="2">
        <v>0</v>
      </c>
      <c r="H192" s="6">
        <v>3500</v>
      </c>
      <c r="I192" s="6">
        <v>2234</v>
      </c>
      <c r="J192" s="6">
        <v>0.02</v>
      </c>
    </row>
    <row r="193" spans="1:10">
      <c r="A193" s="2" t="s">
        <v>444</v>
      </c>
      <c r="B193" s="2" t="s">
        <v>594</v>
      </c>
      <c r="C193" s="2">
        <v>18</v>
      </c>
      <c r="D193" s="2" t="s">
        <v>592</v>
      </c>
      <c r="E193" s="2"/>
      <c r="F193" s="2" t="s">
        <v>662</v>
      </c>
      <c r="G193" s="2">
        <v>0</v>
      </c>
      <c r="H193" s="6">
        <v>3500</v>
      </c>
      <c r="I193" s="6">
        <v>2234</v>
      </c>
      <c r="J193" s="6">
        <v>0.03</v>
      </c>
    </row>
    <row r="194" spans="1:10">
      <c r="A194" s="2" t="s">
        <v>447</v>
      </c>
      <c r="B194" s="2" t="s">
        <v>591</v>
      </c>
      <c r="C194" s="2">
        <v>19</v>
      </c>
      <c r="D194" s="2" t="s">
        <v>592</v>
      </c>
      <c r="E194" s="2" t="s">
        <v>593</v>
      </c>
      <c r="F194" s="2" t="s">
        <v>663</v>
      </c>
      <c r="G194" s="2">
        <v>0</v>
      </c>
      <c r="H194" s="6">
        <v>3500</v>
      </c>
      <c r="I194" s="6">
        <v>1551</v>
      </c>
      <c r="J194" s="6">
        <v>0.02</v>
      </c>
    </row>
    <row r="195" spans="1:10">
      <c r="A195" s="2" t="s">
        <v>447</v>
      </c>
      <c r="B195" s="2" t="s">
        <v>594</v>
      </c>
      <c r="C195" s="2">
        <v>19</v>
      </c>
      <c r="D195" s="2" t="s">
        <v>592</v>
      </c>
      <c r="E195" s="2"/>
      <c r="F195" s="2" t="s">
        <v>663</v>
      </c>
      <c r="G195" s="2">
        <v>0</v>
      </c>
      <c r="H195" s="6">
        <v>3500</v>
      </c>
      <c r="I195" s="6">
        <v>1551</v>
      </c>
      <c r="J195" s="6">
        <v>0.03</v>
      </c>
    </row>
    <row r="196" spans="1:10">
      <c r="A196" s="2" t="s">
        <v>351</v>
      </c>
      <c r="B196" s="2" t="s">
        <v>591</v>
      </c>
      <c r="C196" s="2">
        <v>20</v>
      </c>
      <c r="D196" s="2" t="s">
        <v>592</v>
      </c>
      <c r="E196" s="2" t="s">
        <v>593</v>
      </c>
      <c r="F196" s="2" t="s">
        <v>664</v>
      </c>
      <c r="G196" s="2">
        <v>0</v>
      </c>
      <c r="H196" s="6">
        <v>0.1</v>
      </c>
      <c r="I196" s="6">
        <v>1</v>
      </c>
      <c r="J196" s="6">
        <v>0.09</v>
      </c>
    </row>
    <row r="197" spans="1:10">
      <c r="A197" s="2" t="s">
        <v>351</v>
      </c>
      <c r="B197" s="2" t="s">
        <v>594</v>
      </c>
      <c r="C197" s="2">
        <v>20</v>
      </c>
      <c r="D197" s="2" t="s">
        <v>592</v>
      </c>
      <c r="E197" s="2"/>
      <c r="F197" s="2" t="s">
        <v>664</v>
      </c>
      <c r="G197" s="2">
        <v>0</v>
      </c>
      <c r="H197" s="6">
        <v>0.1</v>
      </c>
      <c r="I197" s="6">
        <v>1</v>
      </c>
      <c r="J197" s="6">
        <v>0.09</v>
      </c>
    </row>
    <row r="198" spans="1:10">
      <c r="A198" s="2" t="s">
        <v>402</v>
      </c>
      <c r="B198" s="2" t="s">
        <v>591</v>
      </c>
      <c r="C198" s="2">
        <v>21</v>
      </c>
      <c r="D198" s="2" t="s">
        <v>592</v>
      </c>
      <c r="E198" s="2" t="s">
        <v>593</v>
      </c>
      <c r="F198" s="2" t="s">
        <v>665</v>
      </c>
      <c r="G198" s="2" t="s">
        <v>405</v>
      </c>
      <c r="H198" s="6">
        <v>0.1</v>
      </c>
      <c r="I198" s="6">
        <v>0.25182481751825003</v>
      </c>
      <c r="J198" s="6">
        <v>0.03</v>
      </c>
    </row>
    <row r="199" spans="1:10">
      <c r="A199" s="2" t="s">
        <v>402</v>
      </c>
      <c r="B199" s="2" t="s">
        <v>594</v>
      </c>
      <c r="C199" s="2">
        <v>21</v>
      </c>
      <c r="D199" s="2" t="s">
        <v>592</v>
      </c>
      <c r="E199" s="2"/>
      <c r="F199" s="2" t="s">
        <v>665</v>
      </c>
      <c r="G199" s="2" t="s">
        <v>405</v>
      </c>
      <c r="H199" s="6">
        <v>0.1</v>
      </c>
      <c r="I199" s="6">
        <v>0.25182481751825003</v>
      </c>
      <c r="J199" s="6">
        <v>0.03</v>
      </c>
    </row>
    <row r="200" spans="1:10">
      <c r="A200" s="2" t="s">
        <v>460</v>
      </c>
      <c r="B200" s="2" t="s">
        <v>591</v>
      </c>
      <c r="C200" s="2">
        <v>23</v>
      </c>
      <c r="D200" s="2" t="s">
        <v>592</v>
      </c>
      <c r="E200" s="2" t="s">
        <v>593</v>
      </c>
      <c r="F200" s="2" t="s">
        <v>666</v>
      </c>
      <c r="G200" s="2" t="s">
        <v>388</v>
      </c>
      <c r="H200" s="6">
        <v>506974.68</v>
      </c>
      <c r="I200" s="6">
        <v>485973.6</v>
      </c>
      <c r="J200" s="6">
        <v>0.08</v>
      </c>
    </row>
    <row r="201" spans="1:10">
      <c r="A201" s="2" t="s">
        <v>460</v>
      </c>
      <c r="B201" s="2" t="s">
        <v>594</v>
      </c>
      <c r="C201" s="2">
        <v>23</v>
      </c>
      <c r="D201" s="2" t="s">
        <v>592</v>
      </c>
      <c r="E201" s="2"/>
      <c r="F201" s="2" t="s">
        <v>666</v>
      </c>
      <c r="G201" s="2" t="s">
        <v>388</v>
      </c>
      <c r="H201" s="6">
        <v>506974.68</v>
      </c>
      <c r="I201" s="6">
        <v>485973.6</v>
      </c>
      <c r="J201" s="6">
        <v>0.09</v>
      </c>
    </row>
    <row r="202" spans="1:10" ht="42.75">
      <c r="A202" s="2" t="s">
        <v>68</v>
      </c>
      <c r="B202" s="2" t="s">
        <v>81</v>
      </c>
      <c r="C202" s="2">
        <v>2</v>
      </c>
      <c r="D202" s="2"/>
      <c r="E202" s="2"/>
      <c r="F202" s="2" t="s">
        <v>667</v>
      </c>
      <c r="G202" s="2" t="s">
        <v>82</v>
      </c>
      <c r="H202" s="6">
        <v>0.1</v>
      </c>
      <c r="I202" s="6">
        <v>0.2</v>
      </c>
      <c r="J202" s="6">
        <v>0.32500000000000001</v>
      </c>
    </row>
    <row r="203" spans="1:10" ht="42.75">
      <c r="A203" s="2" t="s">
        <v>68</v>
      </c>
      <c r="B203" s="2" t="s">
        <v>81</v>
      </c>
      <c r="C203" s="2">
        <v>21</v>
      </c>
      <c r="D203" s="2"/>
      <c r="E203" s="2"/>
      <c r="F203" s="2" t="s">
        <v>667</v>
      </c>
      <c r="G203" s="2" t="s">
        <v>82</v>
      </c>
      <c r="H203" s="6">
        <v>0.1</v>
      </c>
      <c r="I203" s="6" t="s">
        <v>668</v>
      </c>
      <c r="J203" s="6">
        <v>0.32500000000000001</v>
      </c>
    </row>
    <row r="204" spans="1:10">
      <c r="A204" s="2" t="s">
        <v>202</v>
      </c>
      <c r="B204" s="2" t="s">
        <v>81</v>
      </c>
      <c r="C204" s="2">
        <v>3</v>
      </c>
      <c r="D204" s="2"/>
      <c r="E204" s="2"/>
      <c r="F204" s="2" t="s">
        <v>669</v>
      </c>
      <c r="G204" s="2"/>
      <c r="H204" s="6">
        <v>0.1</v>
      </c>
      <c r="I204" s="6">
        <v>0.1</v>
      </c>
      <c r="J204" s="6">
        <v>0.27500000000000002</v>
      </c>
    </row>
    <row r="205" spans="1:10">
      <c r="A205" s="2" t="s">
        <v>202</v>
      </c>
      <c r="B205" s="2" t="s">
        <v>81</v>
      </c>
      <c r="C205" s="2">
        <v>22</v>
      </c>
      <c r="D205" s="2"/>
      <c r="E205" s="2"/>
      <c r="F205" s="2" t="s">
        <v>669</v>
      </c>
      <c r="G205" s="2"/>
      <c r="H205" s="6"/>
      <c r="I205" s="6"/>
      <c r="J205" s="6">
        <v>0.27500000000000002</v>
      </c>
    </row>
    <row r="206" spans="1:10">
      <c r="A206" s="2" t="s">
        <v>88</v>
      </c>
      <c r="B206" s="2" t="s">
        <v>94</v>
      </c>
      <c r="C206" s="2">
        <v>4</v>
      </c>
      <c r="D206" s="2"/>
      <c r="E206" s="2"/>
      <c r="F206" s="2" t="s">
        <v>670</v>
      </c>
      <c r="G206" s="2" t="s">
        <v>95</v>
      </c>
      <c r="H206" s="6">
        <v>0.2</v>
      </c>
      <c r="I206" s="6"/>
      <c r="J206" s="6">
        <v>0.32500000000000001</v>
      </c>
    </row>
    <row r="207" spans="1:10">
      <c r="A207" s="2" t="s">
        <v>196</v>
      </c>
      <c r="B207" s="2" t="s">
        <v>94</v>
      </c>
      <c r="C207" s="2">
        <v>5</v>
      </c>
      <c r="D207" s="2"/>
      <c r="E207" s="2"/>
      <c r="F207" s="2" t="s">
        <v>671</v>
      </c>
      <c r="G207" s="2" t="s">
        <v>82</v>
      </c>
      <c r="H207" s="6">
        <v>0.1</v>
      </c>
      <c r="I207" s="6"/>
      <c r="J207" s="6">
        <v>0.27500000000000002</v>
      </c>
    </row>
    <row r="208" spans="1:10">
      <c r="A208" s="2" t="s">
        <v>519</v>
      </c>
      <c r="B208" s="2" t="s">
        <v>94</v>
      </c>
      <c r="C208" s="2">
        <v>12</v>
      </c>
      <c r="D208" s="2"/>
      <c r="E208" s="2"/>
      <c r="F208" s="2" t="s">
        <v>672</v>
      </c>
      <c r="G208" s="2"/>
      <c r="H208" s="6"/>
      <c r="I208" s="6"/>
      <c r="J208" s="6"/>
    </row>
    <row r="209" spans="1:10">
      <c r="A209" s="2" t="s">
        <v>532</v>
      </c>
      <c r="B209" s="2" t="s">
        <v>94</v>
      </c>
      <c r="C209" s="2">
        <v>13</v>
      </c>
      <c r="D209" s="2"/>
      <c r="E209" s="2"/>
      <c r="F209" s="2" t="s">
        <v>673</v>
      </c>
      <c r="G209" s="2"/>
      <c r="H209" s="6"/>
      <c r="I209" s="6"/>
      <c r="J209" s="6"/>
    </row>
    <row r="210" spans="1:10">
      <c r="A210" s="2" t="s">
        <v>535</v>
      </c>
      <c r="B210" s="2" t="s">
        <v>94</v>
      </c>
      <c r="C210" s="2">
        <v>14</v>
      </c>
      <c r="D210" s="2"/>
      <c r="E210" s="2"/>
      <c r="F210" s="2" t="s">
        <v>674</v>
      </c>
      <c r="G210" s="2"/>
      <c r="H210" s="6"/>
      <c r="I210" s="6"/>
      <c r="J210" s="6"/>
    </row>
    <row r="211" spans="1:10">
      <c r="A211" s="2" t="s">
        <v>538</v>
      </c>
      <c r="B211" s="2" t="s">
        <v>94</v>
      </c>
      <c r="C211" s="2">
        <v>15</v>
      </c>
      <c r="D211" s="2"/>
      <c r="E211" s="2"/>
      <c r="F211" s="2" t="s">
        <v>675</v>
      </c>
      <c r="G211" s="2"/>
      <c r="H211" s="6"/>
      <c r="I211" s="6"/>
      <c r="J211" s="6"/>
    </row>
    <row r="212" spans="1:10">
      <c r="A212" s="2" t="s">
        <v>541</v>
      </c>
      <c r="B212" s="2" t="s">
        <v>94</v>
      </c>
      <c r="C212" s="2">
        <v>16</v>
      </c>
      <c r="D212" s="2"/>
      <c r="E212" s="2"/>
      <c r="F212" s="2" t="s">
        <v>676</v>
      </c>
      <c r="G212" s="2"/>
      <c r="H212" s="6"/>
      <c r="I212" s="6"/>
      <c r="J212" s="6"/>
    </row>
    <row r="213" spans="1:10">
      <c r="A213" s="2" t="s">
        <v>544</v>
      </c>
      <c r="B213" s="2" t="s">
        <v>94</v>
      </c>
      <c r="C213" s="2">
        <v>17</v>
      </c>
      <c r="D213" s="2"/>
      <c r="E213" s="2"/>
      <c r="F213" s="2" t="s">
        <v>677</v>
      </c>
      <c r="G213" s="2"/>
      <c r="H213" s="6"/>
      <c r="I213" s="6"/>
      <c r="J213" s="6"/>
    </row>
    <row r="214" spans="1:10">
      <c r="A214" s="2" t="s">
        <v>547</v>
      </c>
      <c r="B214" s="2" t="s">
        <v>94</v>
      </c>
      <c r="C214" s="2">
        <v>18</v>
      </c>
      <c r="D214" s="2"/>
      <c r="E214" s="2"/>
      <c r="F214" s="2" t="s">
        <v>678</v>
      </c>
      <c r="G214" s="2"/>
      <c r="H214" s="6"/>
      <c r="I214" s="6"/>
      <c r="J214" s="6"/>
    </row>
    <row r="215" spans="1:10">
      <c r="A215" s="2" t="s">
        <v>550</v>
      </c>
      <c r="B215" s="2" t="s">
        <v>94</v>
      </c>
      <c r="C215" s="2">
        <v>19</v>
      </c>
      <c r="D215" s="2"/>
      <c r="E215" s="2"/>
      <c r="F215" s="2" t="s">
        <v>679</v>
      </c>
      <c r="G215" s="2"/>
      <c r="H215" s="6"/>
      <c r="I215" s="6"/>
      <c r="J215" s="6"/>
    </row>
    <row r="216" spans="1:10">
      <c r="A216" s="2" t="s">
        <v>553</v>
      </c>
      <c r="B216" s="2" t="s">
        <v>94</v>
      </c>
      <c r="C216" s="2">
        <v>20</v>
      </c>
      <c r="D216" s="2"/>
      <c r="E216" s="2"/>
      <c r="F216" s="2" t="s">
        <v>680</v>
      </c>
      <c r="G216" s="2"/>
      <c r="H216" s="6"/>
      <c r="I216" s="6"/>
      <c r="J216" s="6"/>
    </row>
    <row r="217" spans="1:10">
      <c r="A217" s="2" t="s">
        <v>526</v>
      </c>
      <c r="B217" s="2" t="s">
        <v>94</v>
      </c>
      <c r="C217" s="2">
        <v>21</v>
      </c>
      <c r="D217" s="2"/>
      <c r="E217" s="2"/>
      <c r="F217" s="2" t="s">
        <v>681</v>
      </c>
      <c r="G217" s="2"/>
      <c r="H217" s="6"/>
      <c r="I217" s="6"/>
      <c r="J217" s="6"/>
    </row>
    <row r="218" spans="1:10">
      <c r="A218" s="2" t="s">
        <v>529</v>
      </c>
      <c r="B218" s="2" t="s">
        <v>94</v>
      </c>
      <c r="C218" s="2">
        <v>22</v>
      </c>
      <c r="D218" s="2"/>
      <c r="E218" s="2"/>
      <c r="F218" s="2" t="s">
        <v>682</v>
      </c>
      <c r="G218" s="2"/>
      <c r="H218" s="6"/>
      <c r="I218" s="6"/>
      <c r="J218" s="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workbookViewId="0"/>
  </sheetViews>
  <sheetFormatPr baseColWidth="10" defaultColWidth="9" defaultRowHeight="14.25"/>
  <cols>
    <col min="1" max="7" width="28" customWidth="1"/>
  </cols>
  <sheetData>
    <row r="1" spans="1:7" ht="15">
      <c r="A1" s="1" t="s">
        <v>41</v>
      </c>
      <c r="B1" s="1" t="s">
        <v>3</v>
      </c>
      <c r="C1" s="1" t="s">
        <v>683</v>
      </c>
      <c r="D1" s="1" t="s">
        <v>684</v>
      </c>
      <c r="E1" s="1" t="s">
        <v>5</v>
      </c>
      <c r="F1" s="1" t="s">
        <v>685</v>
      </c>
      <c r="G1" s="1" t="s">
        <v>19</v>
      </c>
    </row>
    <row r="2" spans="1:7">
      <c r="A2" s="2" t="s">
        <v>71</v>
      </c>
      <c r="B2" s="2" t="s">
        <v>7</v>
      </c>
      <c r="C2" s="2" t="s">
        <v>75</v>
      </c>
      <c r="D2" s="2" t="s">
        <v>106</v>
      </c>
      <c r="E2" s="2" t="s">
        <v>8</v>
      </c>
      <c r="F2" s="2" t="s">
        <v>78</v>
      </c>
      <c r="G2" s="2" t="s">
        <v>23</v>
      </c>
    </row>
    <row r="3" spans="1:7">
      <c r="A3" s="2" t="s">
        <v>522</v>
      </c>
      <c r="B3" s="2" t="s">
        <v>10</v>
      </c>
      <c r="C3" s="2" t="s">
        <v>314</v>
      </c>
      <c r="D3" s="2" t="s">
        <v>77</v>
      </c>
      <c r="E3" s="2" t="s">
        <v>11</v>
      </c>
      <c r="F3" s="2" t="s">
        <v>686</v>
      </c>
      <c r="G3" s="2" t="s">
        <v>25</v>
      </c>
    </row>
    <row r="4" spans="1:7">
      <c r="A4" s="2" t="s">
        <v>90</v>
      </c>
      <c r="B4" s="2" t="s">
        <v>687</v>
      </c>
      <c r="C4" s="2" t="s">
        <v>336</v>
      </c>
      <c r="D4" s="2" t="s">
        <v>92</v>
      </c>
      <c r="E4" s="2" t="s">
        <v>14</v>
      </c>
      <c r="F4" s="2"/>
      <c r="G4" s="2" t="s">
        <v>36</v>
      </c>
    </row>
    <row r="5" spans="1:7" ht="28.5">
      <c r="A5" s="2" t="s">
        <v>193</v>
      </c>
      <c r="B5" s="2" t="s">
        <v>688</v>
      </c>
      <c r="C5" s="2" t="s">
        <v>393</v>
      </c>
      <c r="D5" s="2"/>
      <c r="E5" s="2" t="s">
        <v>86</v>
      </c>
      <c r="F5" s="2"/>
      <c r="G5" s="2" t="s">
        <v>29</v>
      </c>
    </row>
    <row r="6" spans="1:7" ht="28.5">
      <c r="A6" s="2"/>
      <c r="B6" s="2" t="s">
        <v>13</v>
      </c>
      <c r="C6" s="2" t="s">
        <v>689</v>
      </c>
      <c r="D6" s="2"/>
      <c r="E6" s="2" t="s">
        <v>690</v>
      </c>
      <c r="F6" s="2"/>
      <c r="G6" s="2" t="s">
        <v>21</v>
      </c>
    </row>
    <row r="7" spans="1:7">
      <c r="A7" s="2"/>
      <c r="B7" s="2" t="s">
        <v>16</v>
      </c>
      <c r="C7" s="2" t="s">
        <v>513</v>
      </c>
      <c r="D7" s="2"/>
      <c r="E7" s="2"/>
      <c r="F7" s="2"/>
      <c r="G7" s="2" t="s">
        <v>691</v>
      </c>
    </row>
    <row r="8" spans="1:7">
      <c r="A8" s="2"/>
      <c r="B8" s="2" t="s">
        <v>18</v>
      </c>
      <c r="C8" s="2" t="s">
        <v>692</v>
      </c>
      <c r="D8" s="2"/>
      <c r="E8" s="2"/>
      <c r="F8" s="2"/>
      <c r="G8" s="2" t="s">
        <v>32</v>
      </c>
    </row>
    <row r="9" spans="1:7">
      <c r="A9" s="2"/>
      <c r="B9" s="2"/>
      <c r="C9" s="2" t="s">
        <v>18</v>
      </c>
      <c r="D9" s="2"/>
      <c r="E9" s="2"/>
      <c r="F9" s="2"/>
      <c r="G9" s="2" t="s">
        <v>35</v>
      </c>
    </row>
    <row r="10" spans="1:7">
      <c r="A10" s="2"/>
      <c r="B10" s="2"/>
      <c r="C10" s="2"/>
      <c r="D10" s="2"/>
      <c r="E10" s="2"/>
      <c r="F10" s="2"/>
      <c r="G10" s="2" t="s">
        <v>33</v>
      </c>
    </row>
    <row r="11" spans="1:7">
      <c r="A11" s="2"/>
      <c r="B11" s="2"/>
      <c r="C11" s="2"/>
      <c r="D11" s="2"/>
      <c r="E11" s="2"/>
      <c r="F11" s="2"/>
      <c r="G11" s="2" t="s">
        <v>34</v>
      </c>
    </row>
    <row r="12" spans="1:7">
      <c r="A12" s="2"/>
      <c r="B12" s="2"/>
      <c r="C12" s="2"/>
      <c r="D12" s="2"/>
      <c r="E12" s="2"/>
      <c r="F12" s="2"/>
      <c r="G12" s="2" t="s">
        <v>37</v>
      </c>
    </row>
    <row r="13" spans="1:7">
      <c r="A13" s="2"/>
      <c r="B13" s="2"/>
      <c r="C13" s="2"/>
      <c r="D13" s="2"/>
      <c r="E13" s="2"/>
      <c r="F13" s="2"/>
      <c r="G13" s="2" t="s">
        <v>27</v>
      </c>
    </row>
    <row r="14" spans="1:7">
      <c r="A14" s="2"/>
      <c r="B14" s="2"/>
      <c r="C14" s="2"/>
      <c r="D14" s="2"/>
      <c r="E14" s="2"/>
      <c r="F14" s="2"/>
      <c r="G14" s="2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3"/>
  <sheetViews>
    <sheetView workbookViewId="0"/>
  </sheetViews>
  <sheetFormatPr baseColWidth="10" defaultColWidth="9" defaultRowHeight="14.25"/>
  <cols>
    <col min="1" max="1" width="12" customWidth="1"/>
    <col min="2" max="2" width="26" customWidth="1"/>
    <col min="3" max="3" width="14" customWidth="1"/>
    <col min="4" max="4" width="40" customWidth="1"/>
    <col min="5" max="5" width="44" customWidth="1"/>
    <col min="6" max="6" width="38" customWidth="1"/>
    <col min="7" max="7" width="22" customWidth="1"/>
    <col min="8" max="8" width="24" customWidth="1"/>
  </cols>
  <sheetData>
    <row r="1" spans="1:8" ht="15">
      <c r="A1" s="15" t="s">
        <v>693</v>
      </c>
      <c r="B1" s="15"/>
      <c r="C1" s="15"/>
      <c r="D1" s="15"/>
      <c r="E1" s="15"/>
      <c r="F1" s="15"/>
      <c r="G1" s="15"/>
      <c r="H1" s="15"/>
    </row>
    <row r="2" spans="1:8">
      <c r="A2" s="16" t="s">
        <v>694</v>
      </c>
      <c r="B2" s="16"/>
      <c r="C2" s="16"/>
      <c r="D2" s="16"/>
      <c r="E2" s="16"/>
      <c r="F2" s="16"/>
      <c r="G2" s="16"/>
      <c r="H2" s="16"/>
    </row>
    <row r="4" spans="1:8" ht="30">
      <c r="A4" s="10" t="s">
        <v>695</v>
      </c>
      <c r="B4" s="11">
        <v>89</v>
      </c>
      <c r="C4" s="10" t="s">
        <v>9</v>
      </c>
      <c r="D4" s="11">
        <v>73</v>
      </c>
      <c r="E4" s="10" t="s">
        <v>696</v>
      </c>
      <c r="F4" s="11">
        <v>28</v>
      </c>
      <c r="G4" s="10" t="s">
        <v>697</v>
      </c>
      <c r="H4" s="11">
        <v>38</v>
      </c>
    </row>
    <row r="5" spans="1:8" ht="45">
      <c r="A5" s="10" t="s">
        <v>698</v>
      </c>
      <c r="B5" s="11">
        <v>11</v>
      </c>
      <c r="C5" s="10" t="s">
        <v>699</v>
      </c>
      <c r="D5" s="11">
        <v>10</v>
      </c>
      <c r="E5" s="10" t="s">
        <v>700</v>
      </c>
      <c r="F5" s="11">
        <v>4</v>
      </c>
      <c r="G5" s="10" t="s">
        <v>701</v>
      </c>
      <c r="H5" s="11">
        <v>11</v>
      </c>
    </row>
    <row r="8" spans="1:8" ht="30">
      <c r="A8" s="12" t="s">
        <v>702</v>
      </c>
      <c r="B8" s="12" t="s">
        <v>703</v>
      </c>
      <c r="C8" s="12" t="s">
        <v>704</v>
      </c>
      <c r="D8" s="12" t="s">
        <v>705</v>
      </c>
      <c r="E8" s="12" t="s">
        <v>706</v>
      </c>
      <c r="F8" s="12" t="s">
        <v>707</v>
      </c>
      <c r="G8" s="12" t="s">
        <v>708</v>
      </c>
      <c r="H8" s="12" t="s">
        <v>709</v>
      </c>
    </row>
    <row r="9" spans="1:8" ht="43.5">
      <c r="A9" s="2" t="s">
        <v>710</v>
      </c>
      <c r="B9" s="2" t="s">
        <v>711</v>
      </c>
      <c r="C9" s="2">
        <v>28</v>
      </c>
      <c r="D9" s="2" t="s">
        <v>712</v>
      </c>
      <c r="E9" s="2" t="s">
        <v>713</v>
      </c>
      <c r="F9" s="2" t="s">
        <v>714</v>
      </c>
      <c r="G9" s="2" t="s">
        <v>78</v>
      </c>
      <c r="H9" s="2" t="s">
        <v>715</v>
      </c>
    </row>
    <row r="10" spans="1:8" ht="29.25">
      <c r="A10" s="2" t="s">
        <v>710</v>
      </c>
      <c r="B10" s="2" t="s">
        <v>716</v>
      </c>
      <c r="C10" s="2">
        <v>4</v>
      </c>
      <c r="D10" s="2" t="s">
        <v>717</v>
      </c>
      <c r="E10" s="2" t="s">
        <v>718</v>
      </c>
      <c r="F10" s="2" t="s">
        <v>719</v>
      </c>
      <c r="G10" s="2" t="s">
        <v>78</v>
      </c>
      <c r="H10" s="2" t="s">
        <v>720</v>
      </c>
    </row>
    <row r="11" spans="1:8" ht="29.25">
      <c r="A11" s="2" t="s">
        <v>710</v>
      </c>
      <c r="B11" s="2" t="s">
        <v>721</v>
      </c>
      <c r="C11" s="2">
        <v>10</v>
      </c>
      <c r="D11" s="2" t="s">
        <v>722</v>
      </c>
      <c r="E11" s="2" t="s">
        <v>723</v>
      </c>
      <c r="F11" s="2" t="s">
        <v>724</v>
      </c>
      <c r="G11" s="2" t="s">
        <v>78</v>
      </c>
      <c r="H11" s="2" t="s">
        <v>725</v>
      </c>
    </row>
    <row r="12" spans="1:8" ht="43.5">
      <c r="A12" s="2" t="s">
        <v>726</v>
      </c>
      <c r="B12" s="2" t="s">
        <v>727</v>
      </c>
      <c r="C12" s="2">
        <v>11</v>
      </c>
      <c r="D12" s="2" t="s">
        <v>728</v>
      </c>
      <c r="E12" s="2" t="s">
        <v>729</v>
      </c>
      <c r="F12" s="2" t="s">
        <v>730</v>
      </c>
      <c r="G12" s="2" t="s">
        <v>78</v>
      </c>
      <c r="H12" s="2" t="s">
        <v>731</v>
      </c>
    </row>
    <row r="13" spans="1:8" ht="29.25">
      <c r="A13" s="2" t="s">
        <v>726</v>
      </c>
      <c r="B13" s="2" t="s">
        <v>732</v>
      </c>
      <c r="C13" s="2">
        <v>5</v>
      </c>
      <c r="D13" s="2" t="s">
        <v>733</v>
      </c>
      <c r="E13" s="2" t="s">
        <v>734</v>
      </c>
      <c r="F13" s="2" t="s">
        <v>735</v>
      </c>
      <c r="G13" s="2" t="s">
        <v>78</v>
      </c>
      <c r="H13" s="2" t="s">
        <v>736</v>
      </c>
    </row>
    <row r="14" spans="1:8" ht="29.25">
      <c r="A14" s="2" t="s">
        <v>726</v>
      </c>
      <c r="B14" s="2" t="s">
        <v>737</v>
      </c>
      <c r="C14" s="2">
        <v>1</v>
      </c>
      <c r="D14" s="2" t="s">
        <v>738</v>
      </c>
      <c r="E14" s="2" t="s">
        <v>739</v>
      </c>
      <c r="F14" s="2" t="s">
        <v>740</v>
      </c>
      <c r="G14" s="2" t="s">
        <v>78</v>
      </c>
      <c r="H14" s="2" t="s">
        <v>741</v>
      </c>
    </row>
    <row r="15" spans="1:8" ht="43.5">
      <c r="A15" s="2" t="s">
        <v>726</v>
      </c>
      <c r="B15" s="2" t="s">
        <v>742</v>
      </c>
      <c r="C15" s="2">
        <v>18</v>
      </c>
      <c r="D15" s="2" t="s">
        <v>743</v>
      </c>
      <c r="E15" s="2" t="s">
        <v>744</v>
      </c>
      <c r="F15" s="2" t="s">
        <v>745</v>
      </c>
      <c r="G15" s="2" t="s">
        <v>87</v>
      </c>
      <c r="H15" s="2" t="s">
        <v>736</v>
      </c>
    </row>
    <row r="16" spans="1:8" ht="43.5">
      <c r="A16" s="2" t="s">
        <v>746</v>
      </c>
      <c r="B16" s="2" t="s">
        <v>747</v>
      </c>
      <c r="C16" s="2">
        <v>38</v>
      </c>
      <c r="D16" s="2" t="s">
        <v>748</v>
      </c>
      <c r="E16" s="2" t="s">
        <v>749</v>
      </c>
      <c r="F16" s="2" t="s">
        <v>750</v>
      </c>
      <c r="G16" s="2" t="s">
        <v>751</v>
      </c>
      <c r="H16" s="2" t="s">
        <v>736</v>
      </c>
    </row>
    <row r="17" spans="1:8" ht="29.25">
      <c r="A17" s="2" t="s">
        <v>752</v>
      </c>
      <c r="B17" s="2" t="s">
        <v>753</v>
      </c>
      <c r="C17" s="2">
        <v>5</v>
      </c>
      <c r="D17" s="2" t="s">
        <v>754</v>
      </c>
      <c r="E17" s="2" t="s">
        <v>755</v>
      </c>
      <c r="F17" s="2" t="s">
        <v>756</v>
      </c>
      <c r="G17" s="2" t="s">
        <v>686</v>
      </c>
      <c r="H17" s="2" t="s">
        <v>757</v>
      </c>
    </row>
    <row r="18" spans="1:8" ht="43.5">
      <c r="A18" s="2" t="s">
        <v>726</v>
      </c>
      <c r="B18" s="2" t="s">
        <v>758</v>
      </c>
      <c r="C18" s="2" t="s">
        <v>759</v>
      </c>
      <c r="D18" s="2" t="s">
        <v>760</v>
      </c>
      <c r="E18" s="2" t="s">
        <v>761</v>
      </c>
      <c r="F18" s="2" t="s">
        <v>762</v>
      </c>
      <c r="G18" s="2" t="s">
        <v>763</v>
      </c>
      <c r="H18" s="2" t="s">
        <v>764</v>
      </c>
    </row>
    <row r="19" spans="1:8" ht="43.5">
      <c r="A19" s="2" t="s">
        <v>726</v>
      </c>
      <c r="B19" s="2" t="s">
        <v>765</v>
      </c>
      <c r="C19" s="2" t="s">
        <v>766</v>
      </c>
      <c r="D19" s="2" t="s">
        <v>767</v>
      </c>
      <c r="E19" s="2" t="s">
        <v>768</v>
      </c>
      <c r="F19" s="2" t="s">
        <v>769</v>
      </c>
      <c r="G19" s="2" t="s">
        <v>78</v>
      </c>
      <c r="H19" s="2" t="s">
        <v>770</v>
      </c>
    </row>
    <row r="20" spans="1:8" ht="29.25">
      <c r="A20" s="2" t="s">
        <v>726</v>
      </c>
      <c r="B20" s="2" t="s">
        <v>771</v>
      </c>
      <c r="C20" s="2" t="s">
        <v>772</v>
      </c>
      <c r="D20" s="2" t="s">
        <v>773</v>
      </c>
      <c r="E20" s="2" t="s">
        <v>774</v>
      </c>
      <c r="F20" s="2" t="s">
        <v>775</v>
      </c>
      <c r="G20" s="2" t="s">
        <v>686</v>
      </c>
      <c r="H20" s="2" t="s">
        <v>776</v>
      </c>
    </row>
    <row r="23" spans="1:8" ht="15">
      <c r="A23" s="17" t="s">
        <v>777</v>
      </c>
      <c r="B23" s="17"/>
      <c r="C23" s="17"/>
      <c r="D23" s="17"/>
      <c r="E23" s="17"/>
      <c r="F23" s="17"/>
      <c r="G23" s="17"/>
      <c r="H23" s="17"/>
    </row>
  </sheetData>
  <mergeCells count="3">
    <mergeCell ref="A1:H1"/>
    <mergeCell ref="A2:H2"/>
    <mergeCell ref="A23:H23"/>
  </mergeCells>
  <conditionalFormatting sqref="A9:A20">
    <cfRule type="expression" dxfId="3" priority="1">
      <formula>$A9="P0"</formula>
    </cfRule>
    <cfRule type="expression" dxfId="2" priority="2">
      <formula>$A9="P1"</formula>
    </cfRule>
    <cfRule type="expression" dxfId="1" priority="3">
      <formula>$A9="P2"</formula>
    </cfRule>
    <cfRule type="expression" dxfId="0" priority="4">
      <formula>$A9="P3"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Summary</vt:lpstr>
      <vt:lpstr>KPI Catalog</vt:lpstr>
      <vt:lpstr>Review Queue</vt:lpstr>
      <vt:lpstr>Source Occurrences</vt:lpstr>
      <vt:lpstr>Allowed Values</vt:lpstr>
      <vt:lpstr>Changes Needed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ODC2</dc:creator>
  <cp:lastModifiedBy>ODC2</cp:lastModifiedBy>
  <dcterms:created xsi:type="dcterms:W3CDTF">2026-08-27T17:53:28Z</dcterms:created>
  <dcterms:modified xsi:type="dcterms:W3CDTF">2026-08-27T17:53:28Z</dcterms:modified>
</cp:coreProperties>
</file>